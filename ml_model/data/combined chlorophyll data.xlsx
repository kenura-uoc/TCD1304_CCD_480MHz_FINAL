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style1.xml" ContentType="application/vnd.ms-office.chartstyle+xml"/>
  <Override PartName="/xl/sharedStrings.xml" ContentType="application/vnd.openxmlformats-officedocument.spreadsheetml.sharedStrings+xml"/>
  <Override PartName="/xl/persons/person.xml" ContentType="application/vnd.ms-excel.person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2456" activeTab="1"/>
  </bookViews>
  <sheets>
    <sheet name="Ath Batch " sheetId="1" r:id="rId2"/>
    <sheet name="Bth Batch" sheetId="2" r:id="rId3"/>
    <sheet name="Cth solution " sheetId="3" r:id="rId4"/>
    <sheet name="Cth diltuing D1" sheetId="6" r:id="rId5"/>
    <sheet name="cth diluting D2" sheetId="7" r:id="rId6"/>
    <sheet name="02.18 Final day " sheetId="8" r:id="rId7"/>
    <sheet name="Mixing A&amp;B" sheetId="5" r:id="rId8"/>
  </sheets>
  <calcPr calcId="191028"/>
</workbook>
</file>

<file path=xl/sharedStrings.xml><?xml version="1.0" encoding="utf-8"?>
<sst xmlns="http://schemas.openxmlformats.org/spreadsheetml/2006/main" count="203" uniqueCount="203">
  <si>
    <t xml:space="preserve">chl - a conc</t>
  </si>
  <si>
    <t xml:space="preserve">chl - b conc</t>
  </si>
  <si>
    <t xml:space="preserve">ca </t>
  </si>
  <si>
    <t>cb</t>
  </si>
  <si>
    <t>cat</t>
  </si>
  <si>
    <t xml:space="preserve">(from the given presentation)</t>
  </si>
  <si>
    <t xml:space="preserve">(from internet)</t>
  </si>
  <si>
    <t xml:space="preserve">Lichtenthaler Equations</t>
  </si>
  <si>
    <t xml:space="preserve">chl -a = 12.25 A663.2 - 2.55 A646.8</t>
  </si>
  <si>
    <t xml:space="preserve">chl - a = 12.25 A663.2 - 2.79 A646.8</t>
  </si>
  <si>
    <t xml:space="preserve">chl -b = 20.31 A646.8 - 4.91 A663.2</t>
  </si>
  <si>
    <t xml:space="preserve">chl - b = 21.50 A646.8 - 5.10 A663.2</t>
  </si>
  <si>
    <t xml:space="preserve">cat      = (1000 A470 - (1.82Ca + 85.02 Cb))/198 </t>
  </si>
  <si>
    <t xml:space="preserve">Abs 663.2</t>
  </si>
  <si>
    <t xml:space="preserve">Abs 646.8</t>
  </si>
  <si>
    <t xml:space="preserve">Abs 470</t>
  </si>
  <si>
    <t xml:space="preserve">sol num</t>
  </si>
  <si>
    <t xml:space="preserve">vol stock solution taken </t>
  </si>
  <si>
    <t xml:space="preserve">Vol acetone</t>
  </si>
  <si>
    <t xml:space="preserve">A - 0 Morning </t>
  </si>
  <si>
    <t xml:space="preserve">Dark </t>
  </si>
  <si>
    <t xml:space="preserve">Medium </t>
  </si>
  <si>
    <t xml:space="preserve">B - 0 Morning </t>
  </si>
  <si>
    <t xml:space="preserve">ratio chl a/b</t>
  </si>
  <si>
    <t xml:space="preserve">avg </t>
  </si>
  <si>
    <t xml:space="preserve">total chl</t>
  </si>
  <si>
    <t xml:space="preserve">total chl </t>
  </si>
  <si>
    <t xml:space="preserve">A - 2/2 morning 9.48am </t>
  </si>
  <si>
    <t xml:space="preserve">B - 2/2 9.52am</t>
  </si>
  <si>
    <t xml:space="preserve">chl a estimated</t>
  </si>
  <si>
    <t xml:space="preserve">chl b estimated</t>
  </si>
  <si>
    <t xml:space="preserve">spinach 6.6g </t>
  </si>
  <si>
    <t xml:space="preserve">acetone 20ml </t>
  </si>
  <si>
    <t xml:space="preserve">abs 663. 2 </t>
  </si>
  <si>
    <t xml:space="preserve">abs 646.8</t>
  </si>
  <si>
    <t xml:space="preserve">chl a con</t>
  </si>
  <si>
    <t xml:space="preserve">chl b con </t>
  </si>
  <si>
    <t xml:space="preserve">  </t>
  </si>
  <si>
    <t xml:space="preserve">cth sol</t>
  </si>
  <si>
    <t xml:space="preserve">cth sol 10x diluted </t>
  </si>
  <si>
    <t xml:space="preserve">c1v1 = c2v2 </t>
  </si>
  <si>
    <t xml:space="preserve">back calculated con</t>
  </si>
  <si>
    <t xml:space="preserve">solution </t>
  </si>
  <si>
    <t>order</t>
  </si>
  <si>
    <t xml:space="preserve">blue </t>
  </si>
  <si>
    <t xml:space="preserve">cth </t>
  </si>
  <si>
    <t xml:space="preserve">purple </t>
  </si>
  <si>
    <t xml:space="preserve">wrong </t>
  </si>
  <si>
    <t>steps:</t>
  </si>
  <si>
    <t xml:space="preserve">take 1 of 2, 10x diluted samples.</t>
  </si>
  <si>
    <t xml:space="preserve">measure the concnetrations.</t>
  </si>
  <si>
    <t xml:space="preserve">measure how much of sample is left(around 3-5).</t>
  </si>
  <si>
    <t xml:space="preserve">add 0.5 of acetone each time.</t>
  </si>
  <si>
    <t xml:space="preserve">calcualte the concentrations </t>
  </si>
  <si>
    <t xml:space="preserve">take the flouresence measurements</t>
  </si>
  <si>
    <t xml:space="preserve">repeat upto the whole solution becomes 10ml. </t>
  </si>
  <si>
    <t xml:space="preserve">take out 0.5ml of it. </t>
  </si>
  <si>
    <t xml:space="preserve">repeat upto the desired value </t>
  </si>
  <si>
    <t xml:space="preserve">abs 663.2</t>
  </si>
  <si>
    <t xml:space="preserve">chl a </t>
  </si>
  <si>
    <t xml:space="preserve">chl b </t>
  </si>
  <si>
    <t xml:space="preserve">Vol of stock</t>
  </si>
  <si>
    <t xml:space="preserve">Vol of acetone</t>
  </si>
  <si>
    <t xml:space="preserve">Total volume </t>
  </si>
  <si>
    <t xml:space="preserve">Stock Con</t>
  </si>
  <si>
    <t xml:space="preserve">Sample Con</t>
  </si>
  <si>
    <t xml:space="preserve">c1v1 =c2v2</t>
  </si>
  <si>
    <t xml:space="preserve">c2 = c1v1/v2</t>
  </si>
  <si>
    <t xml:space="preserve">No. 1</t>
  </si>
  <si>
    <t xml:space="preserve">No. 2</t>
  </si>
  <si>
    <t xml:space="preserve">No. 3</t>
  </si>
  <si>
    <t xml:space="preserve">No. 4</t>
  </si>
  <si>
    <t xml:space="preserve">No. 5</t>
  </si>
  <si>
    <t xml:space="preserve">No. 6</t>
  </si>
  <si>
    <t xml:space="preserve">No. 7</t>
  </si>
  <si>
    <t xml:space="preserve">No. 8</t>
  </si>
  <si>
    <t xml:space="preserve">No. 9</t>
  </si>
  <si>
    <t xml:space="preserve">No. 10</t>
  </si>
  <si>
    <t xml:space="preserve">No. 11</t>
  </si>
  <si>
    <t xml:space="preserve">No. 12</t>
  </si>
  <si>
    <t xml:space="preserve">No. 13</t>
  </si>
  <si>
    <t xml:space="preserve">No. 14</t>
  </si>
  <si>
    <t xml:space="preserve">No. 15</t>
  </si>
  <si>
    <t xml:space="preserve">No. 16</t>
  </si>
  <si>
    <t xml:space="preserve">No. 17</t>
  </si>
  <si>
    <t xml:space="preserve">No. 18</t>
  </si>
  <si>
    <t xml:space="preserve">No. 19</t>
  </si>
  <si>
    <t xml:space="preserve">No. 20</t>
  </si>
  <si>
    <t xml:space="preserve">No. 21</t>
  </si>
  <si>
    <t xml:space="preserve">No. 22</t>
  </si>
  <si>
    <t xml:space="preserve">No. 23</t>
  </si>
  <si>
    <t xml:space="preserve">No. 24</t>
  </si>
  <si>
    <t xml:space="preserve">No. 25</t>
  </si>
  <si>
    <t xml:space="preserve">No. 26</t>
  </si>
  <si>
    <t xml:space="preserve">No. 27</t>
  </si>
  <si>
    <t xml:space="preserve">No. 28</t>
  </si>
  <si>
    <t xml:space="preserve">No. 29</t>
  </si>
  <si>
    <t xml:space="preserve">No. 30</t>
  </si>
  <si>
    <t xml:space="preserve">No. 31</t>
  </si>
  <si>
    <t xml:space="preserve">No. 32</t>
  </si>
  <si>
    <t xml:space="preserve">No. 33</t>
  </si>
  <si>
    <t xml:space="preserve">No. 34</t>
  </si>
  <si>
    <t xml:space="preserve">No. 35</t>
  </si>
  <si>
    <t xml:space="preserve">No. 36</t>
  </si>
  <si>
    <t xml:space="preserve">No. 37</t>
  </si>
  <si>
    <t xml:space="preserve">No. 38</t>
  </si>
  <si>
    <t xml:space="preserve">No. 39</t>
  </si>
  <si>
    <t xml:space="preserve">No. 40</t>
  </si>
  <si>
    <t xml:space="preserve">No. 41</t>
  </si>
  <si>
    <t xml:space="preserve">No. 42</t>
  </si>
  <si>
    <t xml:space="preserve">No. 43</t>
  </si>
  <si>
    <t xml:space="preserve">No. 44</t>
  </si>
  <si>
    <t xml:space="preserve">No. 45</t>
  </si>
  <si>
    <t xml:space="preserve">No. 46</t>
  </si>
  <si>
    <t xml:space="preserve">No. 47</t>
  </si>
  <si>
    <t xml:space="preserve">No. 48</t>
  </si>
  <si>
    <t xml:space="preserve">No. 49</t>
  </si>
  <si>
    <t xml:space="preserve">No. 50</t>
  </si>
  <si>
    <t xml:space="preserve">No. 51</t>
  </si>
  <si>
    <t xml:space="preserve">No. 52</t>
  </si>
  <si>
    <t xml:space="preserve">No. 53</t>
  </si>
  <si>
    <t xml:space="preserve">No. 54</t>
  </si>
  <si>
    <t xml:space="preserve">No. 55</t>
  </si>
  <si>
    <t xml:space="preserve">No. 56</t>
  </si>
  <si>
    <t xml:space="preserve">No. 57</t>
  </si>
  <si>
    <t xml:space="preserve">No. 58</t>
  </si>
  <si>
    <t xml:space="preserve">No. 59</t>
  </si>
  <si>
    <t xml:space="preserve">No. 60</t>
  </si>
  <si>
    <t xml:space="preserve">No. 61</t>
  </si>
  <si>
    <t xml:space="preserve">No. 62</t>
  </si>
  <si>
    <t xml:space="preserve">No. 63</t>
  </si>
  <si>
    <t xml:space="preserve">No. 64</t>
  </si>
  <si>
    <t xml:space="preserve">No. 65</t>
  </si>
  <si>
    <t xml:space="preserve">No. 66</t>
  </si>
  <si>
    <t xml:space="preserve">No. 67</t>
  </si>
  <si>
    <t xml:space="preserve">No. 68</t>
  </si>
  <si>
    <t xml:space="preserve">No. 69</t>
  </si>
  <si>
    <t xml:space="preserve">No. 70</t>
  </si>
  <si>
    <t xml:space="preserve">No. 71</t>
  </si>
  <si>
    <t xml:space="preserve">No. 72</t>
  </si>
  <si>
    <t xml:space="preserve">No. 73</t>
  </si>
  <si>
    <t xml:space="preserve">No. 74</t>
  </si>
  <si>
    <t xml:space="preserve">No. 75</t>
  </si>
  <si>
    <t xml:space="preserve">10x diluted</t>
  </si>
  <si>
    <t xml:space="preserve">4x diluted </t>
  </si>
  <si>
    <t xml:space="preserve">10x </t>
  </si>
  <si>
    <t>4x</t>
  </si>
  <si>
    <t xml:space="preserve">405nm </t>
  </si>
  <si>
    <t>violet</t>
  </si>
  <si>
    <t xml:space="preserve">450nm </t>
  </si>
  <si>
    <t>blue</t>
  </si>
  <si>
    <t xml:space="preserve">chl b</t>
  </si>
  <si>
    <t xml:space="preserve">flourescence at</t>
  </si>
  <si>
    <t xml:space="preserve">670nm </t>
  </si>
  <si>
    <t xml:space="preserve">650-653nm </t>
  </si>
  <si>
    <t xml:space="preserve">take stock solution </t>
  </si>
  <si>
    <t xml:space="preserve">make 5x dilution </t>
  </si>
  <si>
    <t xml:space="preserve">measure the absorbance</t>
  </si>
  <si>
    <t xml:space="preserve">if &gt; 1, then take 1ml of it add 2ml of acetone and make a sample</t>
  </si>
  <si>
    <t xml:space="preserve">calculate the con, and back calculate the con of 5x c</t>
  </si>
  <si>
    <t xml:space="preserve">stick to the 0.5 plan after that </t>
  </si>
  <si>
    <t xml:space="preserve">dil sample </t>
  </si>
  <si>
    <t xml:space="preserve">No. 76</t>
  </si>
  <si>
    <t xml:space="preserve">No. 77</t>
  </si>
  <si>
    <t xml:space="preserve">No. 78</t>
  </si>
  <si>
    <t xml:space="preserve">No. 79</t>
  </si>
  <si>
    <t xml:space="preserve">No. 80</t>
  </si>
  <si>
    <t xml:space="preserve">No. 81</t>
  </si>
  <si>
    <t xml:space="preserve">No. 82</t>
  </si>
  <si>
    <t xml:space="preserve">No. 83</t>
  </si>
  <si>
    <t xml:space="preserve">No. 84</t>
  </si>
  <si>
    <t xml:space="preserve">No. 85</t>
  </si>
  <si>
    <t xml:space="preserve">No. 86</t>
  </si>
  <si>
    <t xml:space="preserve">No. 87</t>
  </si>
  <si>
    <t xml:space="preserve">No. 88</t>
  </si>
  <si>
    <t xml:space="preserve">No. 89</t>
  </si>
  <si>
    <t xml:space="preserve">No. 90</t>
  </si>
  <si>
    <t xml:space="preserve">No. 91</t>
  </si>
  <si>
    <t xml:space="preserve">No. 92</t>
  </si>
  <si>
    <t xml:space="preserve">No. 93</t>
  </si>
  <si>
    <t xml:space="preserve">No. 94</t>
  </si>
  <si>
    <t xml:space="preserve">No. 95</t>
  </si>
  <si>
    <t xml:space="preserve">No. 96</t>
  </si>
  <si>
    <t xml:space="preserve">No. 97</t>
  </si>
  <si>
    <t xml:space="preserve">No. 98</t>
  </si>
  <si>
    <t xml:space="preserve">No. 99</t>
  </si>
  <si>
    <t xml:space="preserve">No. 100</t>
  </si>
  <si>
    <t xml:space="preserve">2th 0.5 into 4ml </t>
  </si>
  <si>
    <t>2x</t>
  </si>
  <si>
    <t xml:space="preserve">2x dil </t>
  </si>
  <si>
    <t xml:space="preserve">a </t>
  </si>
  <si>
    <t xml:space="preserve">b </t>
  </si>
  <si>
    <t xml:space="preserve">5th 0.5 into 3ml </t>
  </si>
  <si>
    <t xml:space="preserve">5x dil sample</t>
  </si>
  <si>
    <t xml:space="preserve">5x dil </t>
  </si>
  <si>
    <t xml:space="preserve">2x </t>
  </si>
  <si>
    <t xml:space="preserve">5x </t>
  </si>
  <si>
    <t xml:space="preserve">intgration time</t>
  </si>
  <si>
    <t xml:space="preserve">dif </t>
  </si>
  <si>
    <t xml:space="preserve">a decay</t>
  </si>
  <si>
    <t xml:space="preserve">b decay</t>
  </si>
  <si>
    <t xml:space="preserve">per hour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</si>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</sst>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dd/mm/yyyy;@"/>
  </numFmts>
  <fonts count="2">
    <font>
      <sz val="11.000000"/>
      <color theme="1"/>
      <name val="Calibri"/>
      <scheme val="minor"/>
    </font>
    <font>
      <sz val="8.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CEB99"/>
        <bgColor/>
      </patternFill>
    </fill>
    <fill>
      <patternFill patternType="solid">
        <fgColor rgb="FFFFC6C6"/>
        <bgColor/>
      </patternFill>
    </fill>
    <fill>
      <patternFill patternType="solid">
        <fgColor rgb="FFF6C3FF"/>
        <bgColor/>
      </patternFill>
    </fill>
    <fill>
      <patternFill patternType="solid">
        <fgColor indexed="5"/>
        <bgColor/>
      </patternFill>
    </fill>
    <fill>
      <patternFill patternType="solid">
        <fgColor rgb="FFAAE571"/>
        <bgColor/>
      </patternFill>
    </fill>
    <fill>
      <patternFill patternType="solid">
        <fgColor rgb="FF00B0F0"/>
        <bgColor/>
      </patternFill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2">
    <xf fontId="0" fillId="0" borderId="0" numFmtId="0" xfId="0"/>
    <xf fontId="0" fillId="0" borderId="0" numFmtId="164" xfId="0" applyNumberFormat="1"/>
    <xf fontId="0" fillId="0" borderId="0" numFmtId="2" xfId="0" applyNumberFormat="1"/>
    <xf fontId="0" fillId="0" borderId="0" numFmtId="0" xfId="0" applyAlignment="1">
      <alignment horizontal="right"/>
    </xf>
    <xf fontId="0" fillId="2" borderId="0" numFmtId="0" xfId="0" applyFill="1"/>
    <xf fontId="0" fillId="2" borderId="0" numFmtId="2" xfId="0" applyNumberFormat="1" applyFill="1"/>
    <xf fontId="0" fillId="3" borderId="0" numFmtId="0" xfId="0" applyFill="1"/>
    <xf fontId="0" fillId="3" borderId="0" numFmtId="2" xfId="0" applyNumberFormat="1" applyFill="1"/>
    <xf fontId="0" fillId="4" borderId="0" numFmtId="0" xfId="0" applyFill="1"/>
    <xf fontId="0" fillId="4" borderId="0" numFmtId="2" xfId="0" applyNumberFormat="1" applyFill="1"/>
    <xf fontId="0" fillId="0" borderId="0" numFmtId="0" xfId="0" applyAlignment="1">
      <alignment horizontal="left" indent="1"/>
    </xf>
    <xf fontId="0" fillId="0" borderId="0" numFmtId="2" xfId="0" applyNumberFormat="1" applyAlignment="1">
      <alignment horizontal="left" indent="1"/>
    </xf>
    <xf fontId="0" fillId="4" borderId="0" numFmtId="2" xfId="0" applyNumberFormat="1" applyFill="1" applyAlignment="1">
      <alignment horizontal="left" indent="1"/>
    </xf>
    <xf fontId="0" fillId="0" borderId="0" numFmtId="14" xfId="0" applyNumberFormat="1"/>
    <xf fontId="0" fillId="0" borderId="0" numFmtId="165" xfId="0" applyNumberFormat="1"/>
    <xf fontId="0" fillId="5" borderId="0" numFmtId="2" xfId="0" applyNumberFormat="1" applyFill="1"/>
    <xf fontId="0" fillId="6" borderId="0" numFmtId="2" xfId="0" applyNumberFormat="1" applyFill="1"/>
    <xf fontId="0" fillId="6" borderId="0" numFmtId="164" xfId="0" applyNumberFormat="1" applyFill="1"/>
    <xf fontId="0" fillId="4" borderId="0" numFmtId="164" xfId="0" applyNumberFormat="1" applyFill="1"/>
    <xf fontId="0" fillId="7" borderId="0" numFmtId="2" xfId="0" applyNumberFormat="1" applyFill="1"/>
    <xf fontId="0" fillId="7" borderId="0" numFmtId="0" xfId="0" applyFill="1"/>
    <xf fontId="0" fillId="7" borderId="0" numFmtId="164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customXml" Target="../customXml/item1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2" Type="http://schemas.microsoft.com/office/2011/relationships/chartStyle" Target="style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ColorStyle" Target="colors2.xml" /><Relationship Id="rId2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'Ath Batch '!$H$14</c:f>
              <c:strCache>
                <c:ptCount val="1"/>
                <c:pt idx="0">
                  <c:v>chl - a conc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'Ath Batch '!$B$15:$B$30</c:f>
              <c:numCache>
                <c:formatCode>General</c:formatCode>
                <c:ptCount val="16"/>
                <c:pt idx="0">
                  <c:v>10</c:v>
                </c:pt>
                <c:pt idx="1">
                  <c:v>9.5</c:v>
                </c:pt>
                <c:pt idx="2">
                  <c:v>9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</c:numCache>
            </c:numRef>
          </c:cat>
          <c:val>
            <c:numRef>
              <c:f>'Ath Batch '!$H$15:$H$30</c:f>
              <c:numCache>
                <c:formatCode>0.00</c:formatCode>
                <c:ptCount val="16"/>
                <c:pt idx="0">
                  <c:v>6.0073000000000008</c:v>
                </c:pt>
                <c:pt idx="1">
                  <c:v>5.1496999999999993</c:v>
                </c:pt>
                <c:pt idx="2">
                  <c:v>4.8791500000000001</c:v>
                </c:pt>
                <c:pt idx="3">
                  <c:v>4.3880499999999998</c:v>
                </c:pt>
                <c:pt idx="4">
                  <c:v>4.3284000000000002</c:v>
                </c:pt>
                <c:pt idx="5">
                  <c:v>4.0557500000000006</c:v>
                </c:pt>
                <c:pt idx="6">
                  <c:v>3.9607999999999999</c:v>
                </c:pt>
                <c:pt idx="7">
                  <c:v>3.7448999999999999</c:v>
                </c:pt>
                <c:pt idx="8">
                  <c:v>3.0464999999999995</c:v>
                </c:pt>
                <c:pt idx="9">
                  <c:v>2.6927500000000002</c:v>
                </c:pt>
                <c:pt idx="10">
                  <c:v>2.9822499999999996</c:v>
                </c:pt>
                <c:pt idx="11">
                  <c:v>2.339</c:v>
                </c:pt>
                <c:pt idx="12">
                  <c:v>2.0816999999999997</c:v>
                </c:pt>
                <c:pt idx="13">
                  <c:v>1.7320500000000001</c:v>
                </c:pt>
                <c:pt idx="14">
                  <c:v>1.5064000000000002</c:v>
                </c:pt>
                <c:pt idx="15">
                  <c:v>1.22105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'Ath Batch '!$I$14</c:f>
              <c:strCache>
                <c:ptCount val="1"/>
                <c:pt idx="0">
                  <c:v>chl - b conc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'Ath Batch '!$B$15:$B$30</c:f>
              <c:numCache>
                <c:formatCode>General</c:formatCode>
                <c:ptCount val="16"/>
                <c:pt idx="0">
                  <c:v>10</c:v>
                </c:pt>
                <c:pt idx="1">
                  <c:v>9.5</c:v>
                </c:pt>
                <c:pt idx="2">
                  <c:v>9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</c:numCache>
            </c:numRef>
          </c:cat>
          <c:val>
            <c:numRef>
              <c:f>'Ath Batch '!$I$15:$I$30</c:f>
              <c:numCache>
                <c:formatCode>0.00</c:formatCode>
                <c:ptCount val="16"/>
                <c:pt idx="0">
                  <c:v>4.2272199999999982</c:v>
                </c:pt>
                <c:pt idx="1">
                  <c:v>3.6451399999999987</c:v>
                </c:pt>
                <c:pt idx="2">
                  <c:v>3.4835499999999993</c:v>
                </c:pt>
                <c:pt idx="3">
                  <c:v>2.9474499999999999</c:v>
                </c:pt>
                <c:pt idx="4">
                  <c:v>3.6078600000000001</c:v>
                </c:pt>
                <c:pt idx="5">
                  <c:v>2.907049999999999</c:v>
                </c:pt>
                <c:pt idx="6">
                  <c:v>2.8293800000000005</c:v>
                </c:pt>
                <c:pt idx="7">
                  <c:v>2.9737800000000001</c:v>
                </c:pt>
                <c:pt idx="8">
                  <c:v>1.8649800000000001</c:v>
                </c:pt>
                <c:pt idx="9">
                  <c:v>1.7174499999999995</c:v>
                </c:pt>
                <c:pt idx="10">
                  <c:v>2.4693699999999996</c:v>
                </c:pt>
                <c:pt idx="11">
                  <c:v>1.5699199999999998</c:v>
                </c:pt>
                <c:pt idx="12">
                  <c:v>1.21014</c:v>
                </c:pt>
                <c:pt idx="13">
                  <c:v>1.2152699999999999</c:v>
                </c:pt>
                <c:pt idx="14">
                  <c:v>0.88137999999999983</c:v>
                </c:pt>
                <c:pt idx="15">
                  <c:v>0.74500999999999984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254832"/>
        <c:axId val="305228208"/>
        <c:extLst>
          <c:ext uri="{02D57815-91ED-43cb-92C2-25804820EDAC}">
            <c15:filteredLineSeries>
              <c15:ser>
                <c:idx val="4"/>
                <c:order val="4"/>
                <c:tx>
                  <c:strRef>
                    <c:strCache>
                      <c:ptCount val="1"/>
                    </c:strCache>
                    <c:extLst>
                      <c:ext uri="{02D57815-91ED-43cb-92C2-25804820EDAC}">
                        <c15:formulaRef>
                          <c15:sqref>'Ath Batch '!$G$14</c15:sqref>
                        </c15:formulaRef>
                      </c:ext>
                    </c:extLst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numCache>
                      <c:formatCode>General</c:formatCode>
                      <c:ptCount val="16"/>
                      <c:pt idx="0">
                        <c:v>10</c:v>
                      </c:pt>
                      <c:pt idx="1">
                        <c:v>9.5</c:v>
                      </c:pt>
                      <c:pt idx="2">
                        <c:v>9</c:v>
                      </c:pt>
                      <c:pt idx="3">
                        <c:v>8.5</c:v>
                      </c:pt>
                      <c:pt idx="4">
                        <c:v>8</c:v>
                      </c:pt>
                      <c:pt idx="5">
                        <c:v>7.5</c:v>
                      </c:pt>
                      <c:pt idx="6">
                        <c:v>7</c:v>
                      </c:pt>
                      <c:pt idx="7">
                        <c:v>6.5</c:v>
                      </c:pt>
                      <c:pt idx="8">
                        <c:v>6</c:v>
                      </c:pt>
                      <c:pt idx="9">
                        <c:v>5.5</c:v>
                      </c:pt>
                      <c:pt idx="10">
                        <c:v>5</c:v>
                      </c:pt>
                      <c:pt idx="11">
                        <c:v>4.5</c:v>
                      </c:pt>
                      <c:pt idx="12">
                        <c:v>4</c:v>
                      </c:pt>
                      <c:pt idx="13">
                        <c:v>3.5</c:v>
                      </c:pt>
                      <c:pt idx="14">
                        <c:v>3</c:v>
                      </c:pt>
                      <c:pt idx="15">
                        <c:v>2.5</c:v>
                      </c:pt>
                    </c:numCache>
                    <c:extLst>
                      <c:ext uri="{02D57815-91ED-43cb-92C2-25804820EDAC}">
                        <c15:formulaRef>
                          <c15:sqref>'Ath Batch '!$B$15:$B$30</c15:sqref>
                        </c15:formulaRef>
                      </c:ext>
                    </c:extLst>
                  </c:numRef>
                </c:cat>
                <c:val>
                  <c:numRef>
                    <c:numCache>
                      <c:formatCode>General</c:formatCode>
                      <c:ptCount val="16"/>
                    </c:numCache>
                    <c:extLst>
                      <c:ext uri="{02D57815-91ED-43cb-92C2-25804820EDAC}">
                        <c15:formulaRef>
                          <c15:sqref>'Ath Batch '!$G$15:$G$30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2972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228208"/>
        <c:crosses val="autoZero"/>
        <c:auto val="1"/>
        <c:lblAlgn val="ctr"/>
        <c:lblOffset val="100"/>
        <c:noMultiLvlLbl val="0"/>
      </c:catAx>
      <c:valAx>
        <c:axId val="3052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2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'Bth Batch'!$H$9</c:f>
              <c:strCache>
                <c:ptCount val="1"/>
                <c:pt idx="0">
                  <c:v>chl - a conc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'Bth Batch'!$B$10:$B$25</c:f>
              <c:numCache>
                <c:formatCode>General</c:formatCode>
                <c:ptCount val="16"/>
                <c:pt idx="0">
                  <c:v>10</c:v>
                </c:pt>
                <c:pt idx="1">
                  <c:v>9.5</c:v>
                </c:pt>
                <c:pt idx="2">
                  <c:v>9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</c:numCache>
            </c:numRef>
          </c:cat>
          <c:val>
            <c:numRef>
              <c:f>'Bth Batch'!$H$10:$H$25</c:f>
              <c:numCache>
                <c:formatCode>0.00</c:formatCode>
                <c:ptCount val="16"/>
                <c:pt idx="0">
                  <c:v>3.9969499999999996</c:v>
                </c:pt>
                <c:pt idx="1">
                  <c:v>3.6136000000000004</c:v>
                </c:pt>
                <c:pt idx="2">
                  <c:v>3.4747500000000002</c:v>
                </c:pt>
                <c:pt idx="3">
                  <c:v>3.2669999999999999</c:v>
                </c:pt>
                <c:pt idx="4">
                  <c:v>3.2123999999999997</c:v>
                </c:pt>
                <c:pt idx="5">
                  <c:v>2.7994499999999998</c:v>
                </c:pt>
                <c:pt idx="6">
                  <c:v>2.7325500000000003</c:v>
                </c:pt>
                <c:pt idx="7">
                  <c:v>2.5712499999999996</c:v>
                </c:pt>
                <c:pt idx="8">
                  <c:v>2.3155000000000001</c:v>
                </c:pt>
                <c:pt idx="9">
                  <c:v>2.0526</c:v>
                </c:pt>
                <c:pt idx="10">
                  <c:v>1.7463000000000002</c:v>
                </c:pt>
                <c:pt idx="11">
                  <c:v>1.6023499999999999</c:v>
                </c:pt>
                <c:pt idx="12">
                  <c:v>1.4870000000000003</c:v>
                </c:pt>
                <c:pt idx="13">
                  <c:v>1.16845</c:v>
                </c:pt>
                <c:pt idx="14">
                  <c:v>1.0439000000000001</c:v>
                </c:pt>
                <c:pt idx="15">
                  <c:v>0.71975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'Bth Batch'!$I$9</c:f>
              <c:strCache>
                <c:ptCount val="1"/>
                <c:pt idx="0">
                  <c:v>chl - b conc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'Bth Batch'!$B$10:$B$25</c:f>
              <c:numCache>
                <c:formatCode>General</c:formatCode>
                <c:ptCount val="16"/>
                <c:pt idx="0">
                  <c:v>10</c:v>
                </c:pt>
                <c:pt idx="1">
                  <c:v>9.5</c:v>
                </c:pt>
                <c:pt idx="2">
                  <c:v>9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</c:numCache>
            </c:numRef>
          </c:cat>
          <c:val>
            <c:numRef>
              <c:f>'Bth Batch'!$I$10:$I$25</c:f>
              <c:numCache>
                <c:formatCode>0.00</c:formatCode>
                <c:ptCount val="16"/>
                <c:pt idx="0">
                  <c:v>1.9855099999999997</c:v>
                </c:pt>
                <c:pt idx="1">
                  <c:v>1.8884199999999995</c:v>
                </c:pt>
                <c:pt idx="2">
                  <c:v>1.7897700000000001</c:v>
                </c:pt>
                <c:pt idx="3">
                  <c:v>1.7766</c:v>
                </c:pt>
                <c:pt idx="4">
                  <c:v>1.9335000000000002</c:v>
                </c:pt>
                <c:pt idx="5">
                  <c:v>1.8868499999999997</c:v>
                </c:pt>
                <c:pt idx="6">
                  <c:v>1.5857700000000001</c:v>
                </c:pt>
                <c:pt idx="7">
                  <c:v>1.5732699999999999</c:v>
                </c:pt>
                <c:pt idx="8">
                  <c:v>1.3864599999999998</c:v>
                </c:pt>
                <c:pt idx="9">
                  <c:v>1.1639399999999998</c:v>
                </c:pt>
                <c:pt idx="10">
                  <c:v>0.82379999999999998</c:v>
                </c:pt>
                <c:pt idx="11">
                  <c:v>0.76576999999999995</c:v>
                </c:pt>
                <c:pt idx="12">
                  <c:v>0.85057999999999967</c:v>
                </c:pt>
                <c:pt idx="13">
                  <c:v>0.51534999999999986</c:v>
                </c:pt>
                <c:pt idx="14">
                  <c:v>0.48811999999999989</c:v>
                </c:pt>
                <c:pt idx="15">
                  <c:v>0.29014999999999991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002496"/>
        <c:axId val="1156002976"/>
        <c:extLst>
          <c:ext uri="{02D57815-91ED-43cb-92C2-25804820EDAC}">
            <c15:filteredLineSeries>
              <c15:ser>
                <c:idx val="4"/>
                <c:order val="4"/>
                <c:tx>
                  <c:strRef>
                    <c:strCache>
                      <c:ptCount val="1"/>
                    </c:strCache>
                    <c:extLst>
                      <c:ext uri="{02D57815-91ED-43cb-92C2-25804820EDAC}">
                        <c15:formulaRef>
                          <c15:sqref>'Bth Batch'!$G$9</c15:sqref>
                        </c15:formulaRef>
                      </c:ext>
                    </c:extLst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numCache>
                      <c:formatCode>General</c:formatCode>
                      <c:ptCount val="16"/>
                      <c:pt idx="0">
                        <c:v>10</c:v>
                      </c:pt>
                      <c:pt idx="1">
                        <c:v>9.5</c:v>
                      </c:pt>
                      <c:pt idx="2">
                        <c:v>9</c:v>
                      </c:pt>
                      <c:pt idx="3">
                        <c:v>8.5</c:v>
                      </c:pt>
                      <c:pt idx="4">
                        <c:v>8</c:v>
                      </c:pt>
                      <c:pt idx="5">
                        <c:v>7.5</c:v>
                      </c:pt>
                      <c:pt idx="6">
                        <c:v>7</c:v>
                      </c:pt>
                      <c:pt idx="7">
                        <c:v>6.5</c:v>
                      </c:pt>
                      <c:pt idx="8">
                        <c:v>6</c:v>
                      </c:pt>
                      <c:pt idx="9">
                        <c:v>5.5</c:v>
                      </c:pt>
                      <c:pt idx="10">
                        <c:v>5</c:v>
                      </c:pt>
                      <c:pt idx="11">
                        <c:v>4.5</c:v>
                      </c:pt>
                      <c:pt idx="12">
                        <c:v>4</c:v>
                      </c:pt>
                      <c:pt idx="13">
                        <c:v>3.5</c:v>
                      </c:pt>
                      <c:pt idx="14">
                        <c:v>3</c:v>
                      </c:pt>
                      <c:pt idx="15">
                        <c:v>2.5</c:v>
                      </c:pt>
                    </c:numCache>
                    <c:extLst>
                      <c:ext uri="{02D57815-91ED-43cb-92C2-25804820EDAC}">
                        <c15:formulaRef>
                          <c15:sqref>'Bth Batch'!$B$10:$B$25</c15:sqref>
                        </c15:formulaRef>
                      </c:ext>
                    </c:extLst>
                  </c:numRef>
                </c:cat>
                <c:val>
                  <c:numRef>
                    <c:numCache>
                      <c:formatCode>General</c:formatCode>
                      <c:ptCount val="16"/>
                    </c:numCache>
                    <c:extLst>
                      <c:ext uri="{02D57815-91ED-43cb-92C2-25804820EDAC}">
                        <c15:formulaRef>
                          <c15:sqref>'Bth Batch'!$G$10:$G$25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11560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02976"/>
        <c:crosses val="autoZero"/>
        <c:auto val="1"/>
        <c:lblAlgn val="ctr"/>
        <c:lblOffset val="100"/>
        <c:noMultiLvlLbl val="0"/>
      </c:catAx>
      <c:valAx>
        <c:axId val="11560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0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21</xdr:col>
      <xdr:colOff>177716</xdr:colOff>
      <xdr:row>18</xdr:row>
      <xdr:rowOff>133420</xdr:rowOff>
    </xdr:from>
    <xdr:to>
      <xdr:col>28</xdr:col>
      <xdr:colOff>472907</xdr:colOff>
      <xdr:row>33</xdr:row>
      <xdr:rowOff>96350</xdr:rowOff>
    </xdr:to>
    <xdr:graphicFrame macro=""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19</xdr:col>
      <xdr:colOff>464344</xdr:colOff>
      <xdr:row>7</xdr:row>
      <xdr:rowOff>84931</xdr:rowOff>
    </xdr:from>
    <xdr:to>
      <xdr:col>27</xdr:col>
      <xdr:colOff>150813</xdr:colOff>
      <xdr:row>22</xdr:row>
      <xdr:rowOff>89694</xdr:rowOff>
    </xdr:to>
    <xdr:graphicFrame macro=""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1" zoomScaleNormal="85" workbookViewId="0">
      <selection activeCell="P3" sqref="P3:S4"/>
    </sheetView>
  </sheetViews>
  <sheetFormatPr defaultRowHeight="14.4"/>
  <cols>
    <col bestFit="1" customWidth="1" min="2" max="2" width="21.6640625"/>
    <col bestFit="1" customWidth="1" min="3" max="3" width="10.77734375"/>
    <col bestFit="1" customWidth="1" min="4" max="5" width="9"/>
    <col bestFit="1" customWidth="1" min="6" max="6" width="7.5546875"/>
    <col customWidth="1" min="7" max="7" width="8.88671875"/>
    <col customWidth="1" min="15" max="15" width="14.44140625"/>
    <col customWidth="1" min="16" max="16" width="15.88671875"/>
  </cols>
  <sheetData>
    <row r="1">
      <c r="P1" s="6" t="s">
        <v>5</v>
      </c>
      <c r="Q1" s="6"/>
      <c r="R1" s="6"/>
      <c r="S1" s="6"/>
      <c r="V1" s="4" t="s">
        <v>6</v>
      </c>
      <c r="W1" s="4"/>
      <c r="X1" s="4"/>
      <c r="Y1" s="4"/>
      <c r="Z1" s="4"/>
    </row>
    <row r="2">
      <c r="P2" s="6" t="s">
        <v>7</v>
      </c>
      <c r="Q2" s="6"/>
      <c r="R2" s="6"/>
      <c r="S2" s="6"/>
      <c r="V2" s="4" t="s">
        <v>7</v>
      </c>
      <c r="W2" s="4"/>
      <c r="X2" s="4"/>
      <c r="Y2" s="4"/>
      <c r="Z2" s="4"/>
    </row>
    <row r="3">
      <c r="P3" s="6" t="s">
        <v>8</v>
      </c>
      <c r="Q3" s="6"/>
      <c r="R3" s="6"/>
      <c r="S3" s="6"/>
      <c r="V3" s="4" t="s">
        <v>9</v>
      </c>
      <c r="W3" s="4"/>
      <c r="X3" s="4"/>
      <c r="Y3" s="4"/>
      <c r="Z3" s="4"/>
    </row>
    <row r="4">
      <c r="P4" s="6" t="s">
        <v>10</v>
      </c>
      <c r="Q4" s="6"/>
      <c r="R4" s="6"/>
      <c r="S4" s="6"/>
      <c r="V4" s="4" t="s">
        <v>11</v>
      </c>
      <c r="W4" s="4"/>
      <c r="X4" s="4"/>
      <c r="Y4" s="4"/>
      <c r="Z4" s="4"/>
    </row>
    <row r="5">
      <c r="V5" s="4" t="s">
        <v>12</v>
      </c>
      <c r="W5" s="4"/>
      <c r="X5" s="4"/>
      <c r="Y5" s="4"/>
      <c r="Z5" s="4"/>
    </row>
    <row r="11">
      <c r="A11" t="s">
        <v>19</v>
      </c>
    </row>
    <row r="14">
      <c r="A14" t="s">
        <v>16</v>
      </c>
      <c r="B14" t="s">
        <v>17</v>
      </c>
      <c r="C14" t="s">
        <v>18</v>
      </c>
      <c r="D14" t="s">
        <v>13</v>
      </c>
      <c r="E14" t="s">
        <v>14</v>
      </c>
      <c r="F14" t="s">
        <v>15</v>
      </c>
      <c r="H14" s="6" t="s">
        <v>0</v>
      </c>
      <c r="I14" s="6" t="s">
        <v>1</v>
      </c>
      <c r="K14" s="4" t="s">
        <v>2</v>
      </c>
      <c r="L14" s="4" t="s">
        <v>3</v>
      </c>
      <c r="M14" t="s">
        <v>4</v>
      </c>
      <c r="P14" t="s">
        <v>23</v>
      </c>
      <c r="R14" t="s">
        <v>25</v>
      </c>
      <c r="S14" t="s">
        <v>26</v>
      </c>
    </row>
    <row r="15">
      <c r="A15">
        <v>1</v>
      </c>
      <c r="B15">
        <v>10</v>
      </c>
      <c r="C15">
        <v>0</v>
      </c>
      <c r="D15" s="1">
        <v>0.56200000000000006</v>
      </c>
      <c r="E15" s="1">
        <v>0.34399999999999997</v>
      </c>
      <c r="F15">
        <v>0</v>
      </c>
      <c r="H15" s="7">
        <f>(12.25 * D15) - (2.55 * E15)</f>
        <v>6.0073000000000008</v>
      </c>
      <c r="I15" s="7">
        <f>(20.31*E15)-(4.91*D15)</f>
        <v>4.2272199999999982</v>
      </c>
      <c r="J15" s="2"/>
      <c r="K15" s="5">
        <f>12.25*D15 -2.79*E15</f>
        <v>5.9247400000000008</v>
      </c>
      <c r="L15" s="5">
        <f>21.5*E15-5.1*D15</f>
        <v>4.5297999999999989</v>
      </c>
      <c r="M15" s="2">
        <f>(1000*F15 -1.82*K15 - 85.02*L15)/198</f>
        <v>-1.9995283979797975</v>
      </c>
      <c r="P15" s="2">
        <f>H15/I15</f>
        <v>1.4210994459715849</v>
      </c>
      <c r="R15" s="2">
        <f>I15+H15</f>
        <v>10.23452</v>
      </c>
      <c r="S15" s="2">
        <f>L15+K15</f>
        <v>10.45454</v>
      </c>
    </row>
    <row r="16">
      <c r="A16">
        <v>2</v>
      </c>
      <c r="B16">
        <v>9.5</v>
      </c>
      <c r="C16">
        <v>0.5</v>
      </c>
      <c r="D16" s="1">
        <v>0.48199999999999998</v>
      </c>
      <c r="E16" s="1">
        <v>0.29599999999999999</v>
      </c>
      <c r="H16" s="7">
        <f t="shared" ref="H16:H30" si="0">(12.25 * D16) - (2.55 * E16)</f>
        <v>5.1496999999999993</v>
      </c>
      <c r="I16" s="7">
        <f t="shared" ref="I16:I30" si="1">(20.31*E16)-(4.91*D16)</f>
        <v>3.6451399999999987</v>
      </c>
      <c r="J16" s="2"/>
      <c r="K16" s="5">
        <f t="shared" ref="K16:K22" si="2">12.25*D16 -2.79*E16</f>
        <v>5.0786599999999993</v>
      </c>
      <c r="L16" s="5">
        <f t="shared" ref="L16:L22" si="3">21.5*E16-5.1*D16</f>
        <v>3.9058000000000002</v>
      </c>
      <c r="M16" s="2">
        <f t="shared" ref="M16:M30" si="4">(1000*F16 -1.82*K16 - 85.02*L16)/198</f>
        <v>-1.7238094808080808</v>
      </c>
      <c r="P16" s="2">
        <f t="shared" ref="P16:P30" si="5">H16/I16</f>
        <v>1.4127578090279114</v>
      </c>
      <c r="R16" s="2">
        <f t="shared" ref="R16:R30" si="6">I16+H16</f>
        <v>8.7948399999999971</v>
      </c>
      <c r="S16" s="2">
        <f t="shared" ref="S16:S30" si="7">L16+K16</f>
        <v>8.9844599999999986</v>
      </c>
    </row>
    <row r="17">
      <c r="A17">
        <v>3</v>
      </c>
      <c r="B17">
        <v>9</v>
      </c>
      <c r="C17">
        <v>1</v>
      </c>
      <c r="D17" s="1">
        <v>0.45700000000000002</v>
      </c>
      <c r="E17" s="1">
        <v>0.28199999999999997</v>
      </c>
      <c r="H17" s="7">
        <f t="shared" si="0"/>
        <v>4.8791500000000001</v>
      </c>
      <c r="I17" s="7">
        <f t="shared" si="1"/>
        <v>3.4835499999999993</v>
      </c>
      <c r="J17" s="2"/>
      <c r="K17" s="5">
        <f t="shared" si="2"/>
        <v>4.8114699999999999</v>
      </c>
      <c r="L17" s="5">
        <f t="shared" si="3"/>
        <v>3.7323</v>
      </c>
      <c r="M17" s="2">
        <f t="shared" si="4"/>
        <v>-1.6468536434343433</v>
      </c>
      <c r="P17" s="2">
        <f t="shared" si="5"/>
        <v>1.4006257983953154</v>
      </c>
      <c r="R17" s="2">
        <f t="shared" si="6"/>
        <v>8.3627000000000002</v>
      </c>
      <c r="S17" s="2">
        <f t="shared" si="7"/>
        <v>8.5437700000000003</v>
      </c>
    </row>
    <row r="18">
      <c r="A18">
        <v>4</v>
      </c>
      <c r="B18">
        <v>8.5</v>
      </c>
      <c r="C18">
        <v>1.5</v>
      </c>
      <c r="D18" s="1">
        <v>0.40899999999999997</v>
      </c>
      <c r="E18" s="1">
        <v>0.24399999999999999</v>
      </c>
      <c r="H18" s="7">
        <f t="shared" si="0"/>
        <v>4.3880499999999998</v>
      </c>
      <c r="I18" s="7">
        <f>(20.31*E18)-(4.91*D18)</f>
        <v>2.9474499999999999</v>
      </c>
      <c r="J18" s="2"/>
      <c r="K18" s="5">
        <f t="shared" si="2"/>
        <v>4.3294899999999998</v>
      </c>
      <c r="L18" s="5">
        <f t="shared" si="3"/>
        <v>3.1600999999999999</v>
      </c>
      <c r="M18" s="2">
        <f t="shared" si="4"/>
        <v>-1.3967241101010099</v>
      </c>
      <c r="P18" s="2">
        <f t="shared" si="5"/>
        <v>1.4887614717806918</v>
      </c>
      <c r="R18" s="2">
        <f t="shared" si="6"/>
        <v>7.3354999999999997</v>
      </c>
      <c r="S18" s="2">
        <f t="shared" si="7"/>
        <v>7.4895899999999997</v>
      </c>
    </row>
    <row r="19">
      <c r="A19">
        <v>5</v>
      </c>
      <c r="B19">
        <v>8</v>
      </c>
      <c r="C19">
        <v>2</v>
      </c>
      <c r="D19" s="1">
        <v>0.41099999999999998</v>
      </c>
      <c r="E19" s="1">
        <v>0.27700000000000002</v>
      </c>
      <c r="H19" s="7">
        <f t="shared" si="0"/>
        <v>4.3284000000000002</v>
      </c>
      <c r="I19" s="7">
        <f t="shared" si="1"/>
        <v>3.6078600000000001</v>
      </c>
      <c r="J19" s="2"/>
      <c r="K19" s="5">
        <f t="shared" si="2"/>
        <v>4.2619199999999999</v>
      </c>
      <c r="L19" s="5">
        <f t="shared" si="3"/>
        <v>3.8594000000000008</v>
      </c>
      <c r="M19" s="2">
        <f t="shared" si="4"/>
        <v>-1.6963781939393943</v>
      </c>
      <c r="P19" s="2">
        <f t="shared" si="5"/>
        <v>1.1997139578586753</v>
      </c>
      <c r="R19" s="2">
        <f t="shared" si="6"/>
        <v>7.9362600000000008</v>
      </c>
      <c r="S19" s="2">
        <f t="shared" si="7"/>
        <v>8.1213200000000008</v>
      </c>
    </row>
    <row r="20">
      <c r="A20">
        <v>6</v>
      </c>
      <c r="B20">
        <v>7.5</v>
      </c>
      <c r="C20">
        <v>2.5</v>
      </c>
      <c r="D20" s="1">
        <v>0.38</v>
      </c>
      <c r="E20" s="1">
        <v>0.23499999999999999</v>
      </c>
      <c r="H20" s="7">
        <f t="shared" si="0"/>
        <v>4.0557500000000006</v>
      </c>
      <c r="I20" s="7">
        <f t="shared" si="1"/>
        <v>2.907049999999999</v>
      </c>
      <c r="J20" s="2"/>
      <c r="K20" s="5">
        <f t="shared" si="2"/>
        <v>3.9993500000000002</v>
      </c>
      <c r="L20" s="5">
        <f t="shared" si="3"/>
        <v>3.1144999999999996</v>
      </c>
      <c r="M20" s="2">
        <f t="shared" si="4"/>
        <v>-1.3741091262626262</v>
      </c>
      <c r="P20" s="2">
        <f t="shared" si="5"/>
        <v>1.3951428424003722</v>
      </c>
      <c r="R20" s="2">
        <f t="shared" si="6"/>
        <v>6.9627999999999997</v>
      </c>
      <c r="S20" s="2">
        <f t="shared" si="7"/>
        <v>7.1138499999999993</v>
      </c>
    </row>
    <row r="21">
      <c r="A21">
        <v>7</v>
      </c>
      <c r="B21">
        <v>7</v>
      </c>
      <c r="C21">
        <v>3</v>
      </c>
      <c r="D21" s="1">
        <v>0.371</v>
      </c>
      <c r="E21" s="1">
        <v>0.22900000000000001</v>
      </c>
      <c r="H21" s="7">
        <f t="shared" si="0"/>
        <v>3.9607999999999999</v>
      </c>
      <c r="I21" s="7">
        <f t="shared" si="1"/>
        <v>2.8293800000000005</v>
      </c>
      <c r="J21" s="2"/>
      <c r="K21" s="5">
        <f t="shared" si="2"/>
        <v>3.9058399999999995</v>
      </c>
      <c r="L21" s="5">
        <f t="shared" si="3"/>
        <v>3.0313999999999997</v>
      </c>
      <c r="M21" s="2">
        <f t="shared" si="4"/>
        <v>-1.3375669535353534</v>
      </c>
      <c r="P21" s="2">
        <f t="shared" si="5"/>
        <v>1.399882659805328</v>
      </c>
      <c r="R21" s="2">
        <f t="shared" si="6"/>
        <v>6.7901800000000003</v>
      </c>
      <c r="S21" s="2">
        <f t="shared" si="7"/>
        <v>6.9372399999999992</v>
      </c>
    </row>
    <row r="22">
      <c r="A22">
        <v>8</v>
      </c>
      <c r="B22">
        <v>6.5</v>
      </c>
      <c r="C22">
        <v>3.5</v>
      </c>
      <c r="D22" s="1">
        <v>0.35399999999999998</v>
      </c>
      <c r="E22" s="1">
        <v>0.23200000000000001</v>
      </c>
      <c r="H22" s="7">
        <f t="shared" si="0"/>
        <v>3.7448999999999999</v>
      </c>
      <c r="I22" s="7">
        <f t="shared" si="1"/>
        <v>2.9737800000000001</v>
      </c>
      <c r="J22" s="2"/>
      <c r="K22" s="5">
        <f t="shared" si="2"/>
        <v>3.6892199999999997</v>
      </c>
      <c r="L22" s="5">
        <f t="shared" si="3"/>
        <v>3.1826000000000008</v>
      </c>
      <c r="M22" s="2">
        <f t="shared" si="4"/>
        <v>-1.4005001636363639</v>
      </c>
      <c r="P22" s="2">
        <f t="shared" si="5"/>
        <v>1.2593063373887778</v>
      </c>
      <c r="R22" s="2">
        <f t="shared" si="6"/>
        <v>6.71868</v>
      </c>
      <c r="S22" s="2">
        <f t="shared" si="7"/>
        <v>6.8718200000000005</v>
      </c>
    </row>
    <row r="23">
      <c r="A23">
        <v>9</v>
      </c>
      <c r="B23">
        <v>6</v>
      </c>
      <c r="C23">
        <v>4</v>
      </c>
      <c r="D23" s="1">
        <v>0.28199999999999997</v>
      </c>
      <c r="E23" s="1">
        <v>0.16</v>
      </c>
      <c r="H23" s="7">
        <f t="shared" si="0"/>
        <v>3.0464999999999995</v>
      </c>
      <c r="I23" s="7">
        <f t="shared" si="1"/>
        <v>1.8649800000000001</v>
      </c>
      <c r="J23" s="2"/>
      <c r="K23" s="5">
        <f t="shared" ref="K23:K30" si="8">12.25*D23 -2.79*E23</f>
        <v>3.0080999999999993</v>
      </c>
      <c r="L23" s="5">
        <f t="shared" ref="L23:L30" si="9">21.5*E23-5.1*D23</f>
        <v>2.0018000000000002</v>
      </c>
      <c r="M23" s="2">
        <f t="shared" si="4"/>
        <v>-0.88721099999999997</v>
      </c>
      <c r="P23" s="2">
        <f t="shared" si="5"/>
        <v>1.6335295820866709</v>
      </c>
      <c r="R23" s="2">
        <f t="shared" si="6"/>
        <v>4.9114799999999992</v>
      </c>
      <c r="S23" s="2">
        <f t="shared" si="7"/>
        <v>5.0099</v>
      </c>
    </row>
    <row r="24">
      <c r="A24">
        <v>10</v>
      </c>
      <c r="B24">
        <v>5.5</v>
      </c>
      <c r="C24">
        <v>4.5</v>
      </c>
      <c r="D24" s="1">
        <v>0.25</v>
      </c>
      <c r="E24" s="1">
        <v>0.14499999999999999</v>
      </c>
      <c r="H24" s="7">
        <f t="shared" si="0"/>
        <v>2.6927500000000002</v>
      </c>
      <c r="I24" s="7">
        <f t="shared" si="1"/>
        <v>1.7174499999999995</v>
      </c>
      <c r="J24" s="2"/>
      <c r="K24" s="5">
        <f t="shared" si="8"/>
        <v>2.65795</v>
      </c>
      <c r="L24" s="5">
        <f t="shared" si="9"/>
        <v>1.8424999999999998</v>
      </c>
      <c r="M24" s="2">
        <f t="shared" si="4"/>
        <v>-0.8155899949494948</v>
      </c>
      <c r="P24" s="2">
        <f t="shared" si="5"/>
        <v>1.5678767940842535</v>
      </c>
      <c r="R24" s="2">
        <f t="shared" si="6"/>
        <v>4.4101999999999997</v>
      </c>
      <c r="S24" s="2">
        <f t="shared" si="7"/>
        <v>4.5004499999999998</v>
      </c>
    </row>
    <row r="25">
      <c r="A25">
        <v>11</v>
      </c>
      <c r="B25">
        <v>5</v>
      </c>
      <c r="C25">
        <v>5</v>
      </c>
      <c r="D25" s="1">
        <v>0.28299999999999997</v>
      </c>
      <c r="E25" s="1">
        <v>0.19</v>
      </c>
      <c r="H25" s="7">
        <f>(12.25 * D25) - (2.55 * E25)</f>
        <v>2.9822499999999996</v>
      </c>
      <c r="I25" s="7">
        <f>(20.31*E25)-(4.91*D25)</f>
        <v>2.4693699999999996</v>
      </c>
      <c r="J25" s="2"/>
      <c r="K25" s="5">
        <f t="shared" si="8"/>
        <v>2.9366499999999998</v>
      </c>
      <c r="L25" s="5">
        <f t="shared" si="9"/>
        <v>2.6417000000000002</v>
      </c>
      <c r="M25" s="2">
        <f t="shared" si="4"/>
        <v>-1.1613234191919193</v>
      </c>
      <c r="P25" s="2">
        <f t="shared" si="5"/>
        <v>1.2076966999680081</v>
      </c>
      <c r="R25" s="2">
        <f t="shared" si="6"/>
        <v>5.4516199999999992</v>
      </c>
      <c r="S25" s="2">
        <f t="shared" si="7"/>
        <v>5.5783500000000004</v>
      </c>
    </row>
    <row r="26">
      <c r="A26">
        <v>12</v>
      </c>
      <c r="B26">
        <v>4.5</v>
      </c>
      <c r="C26">
        <v>5.5</v>
      </c>
      <c r="D26" s="1">
        <v>0.218</v>
      </c>
      <c r="E26" s="1">
        <v>0.13</v>
      </c>
      <c r="H26" s="7">
        <f t="shared" si="0"/>
        <v>2.339</v>
      </c>
      <c r="I26" s="7">
        <f t="shared" si="1"/>
        <v>1.5699199999999998</v>
      </c>
      <c r="J26" s="2"/>
      <c r="K26" s="5">
        <f t="shared" si="8"/>
        <v>2.3078000000000003</v>
      </c>
      <c r="L26" s="5">
        <f t="shared" si="9"/>
        <v>1.6832</v>
      </c>
      <c r="M26" s="2">
        <f t="shared" si="4"/>
        <v>-0.74396898989898985</v>
      </c>
      <c r="P26" s="2">
        <f t="shared" si="5"/>
        <v>1.4898848348960458</v>
      </c>
      <c r="R26" s="2">
        <f t="shared" si="6"/>
        <v>3.9089199999999997</v>
      </c>
      <c r="S26" s="2">
        <f t="shared" si="7"/>
        <v>3.9910000000000005</v>
      </c>
    </row>
    <row r="27">
      <c r="A27">
        <v>13</v>
      </c>
      <c r="B27">
        <v>4</v>
      </c>
      <c r="C27">
        <v>6</v>
      </c>
      <c r="D27" s="1">
        <v>0.192</v>
      </c>
      <c r="E27" s="1">
        <v>0.106</v>
      </c>
      <c r="H27" s="7">
        <f t="shared" si="0"/>
        <v>2.0816999999999997</v>
      </c>
      <c r="I27" s="7">
        <f t="shared" si="1"/>
        <v>1.21014</v>
      </c>
      <c r="J27" s="2"/>
      <c r="K27" s="5">
        <f t="shared" si="8"/>
        <v>2.05626</v>
      </c>
      <c r="L27" s="5">
        <f t="shared" si="9"/>
        <v>1.2997999999999998</v>
      </c>
      <c r="M27" s="2">
        <f t="shared" si="4"/>
        <v>-0.57702721818181801</v>
      </c>
      <c r="P27" s="2">
        <f t="shared" si="5"/>
        <v>1.7202141900937078</v>
      </c>
      <c r="R27" s="2">
        <f t="shared" si="6"/>
        <v>3.2918399999999997</v>
      </c>
      <c r="S27" s="2">
        <f t="shared" si="7"/>
        <v>3.3560599999999998</v>
      </c>
    </row>
    <row r="28">
      <c r="A28">
        <v>14</v>
      </c>
      <c r="B28">
        <v>3.5</v>
      </c>
      <c r="C28">
        <v>6.5</v>
      </c>
      <c r="D28" s="1">
        <v>0.16200000000000001</v>
      </c>
      <c r="E28" s="1">
        <v>9.9000000000000005e-002</v>
      </c>
      <c r="H28" s="7">
        <f t="shared" si="0"/>
        <v>1.7320500000000001</v>
      </c>
      <c r="I28" s="7">
        <f t="shared" si="1"/>
        <v>1.2152699999999999</v>
      </c>
      <c r="J28" s="2"/>
      <c r="K28" s="5">
        <f t="shared" si="8"/>
        <v>1.7082900000000001</v>
      </c>
      <c r="L28" s="5">
        <f t="shared" si="9"/>
        <v>1.3023000000000002</v>
      </c>
      <c r="M28" s="2">
        <f t="shared" si="4"/>
        <v>-0.574902190909091</v>
      </c>
      <c r="P28" s="2">
        <f t="shared" si="5"/>
        <v>1.4252388358142638</v>
      </c>
      <c r="R28" s="2">
        <f t="shared" si="6"/>
        <v>2.9473199999999999</v>
      </c>
      <c r="S28" s="2">
        <f t="shared" si="7"/>
        <v>3.0105900000000005</v>
      </c>
    </row>
    <row r="29">
      <c r="A29">
        <v>15</v>
      </c>
      <c r="B29">
        <v>3</v>
      </c>
      <c r="C29">
        <v>7</v>
      </c>
      <c r="D29" s="1">
        <v>0.13900000000000001</v>
      </c>
      <c r="E29" s="1">
        <v>7.6999999999999999e-002</v>
      </c>
      <c r="H29" s="7">
        <f t="shared" si="0"/>
        <v>1.5064000000000002</v>
      </c>
      <c r="I29" s="7">
        <f t="shared" si="1"/>
        <v>0.88137999999999983</v>
      </c>
      <c r="J29" s="2"/>
      <c r="K29" s="5">
        <f t="shared" si="8"/>
        <v>1.4879200000000001</v>
      </c>
      <c r="L29" s="5">
        <f t="shared" si="9"/>
        <v>0.9466</v>
      </c>
      <c r="M29" s="2">
        <f t="shared" si="4"/>
        <v>-0.42014114343434339</v>
      </c>
      <c r="P29" s="2">
        <f t="shared" si="5"/>
        <v>1.7091379427715634</v>
      </c>
      <c r="R29" s="2">
        <f t="shared" si="6"/>
        <v>2.3877800000000002</v>
      </c>
      <c r="S29" s="2">
        <f t="shared" si="7"/>
        <v>2.43452</v>
      </c>
    </row>
    <row r="30">
      <c r="A30">
        <v>16</v>
      </c>
      <c r="B30">
        <v>2.5</v>
      </c>
      <c r="C30">
        <v>7.5</v>
      </c>
      <c r="D30" s="1">
        <v>0.113</v>
      </c>
      <c r="E30" s="1">
        <v>6.4000000000000001e-002</v>
      </c>
      <c r="H30" s="7">
        <f t="shared" si="0"/>
        <v>1.22105</v>
      </c>
      <c r="I30" s="7">
        <f t="shared" si="1"/>
        <v>0.74500999999999984</v>
      </c>
      <c r="J30" s="2"/>
      <c r="K30" s="5">
        <f t="shared" si="8"/>
        <v>1.2056899999999999</v>
      </c>
      <c r="L30" s="5">
        <f t="shared" si="9"/>
        <v>0.79970000000000019</v>
      </c>
      <c r="M30" s="2">
        <f t="shared" si="4"/>
        <v>-0.35446893838383842</v>
      </c>
      <c r="P30" s="2">
        <f t="shared" si="5"/>
        <v>1.6389712889759873</v>
      </c>
      <c r="R30" s="2">
        <f t="shared" si="6"/>
        <v>1.9660599999999997</v>
      </c>
      <c r="S30" s="2">
        <f t="shared" si="7"/>
        <v>2.0053900000000002</v>
      </c>
    </row>
    <row r="31">
      <c r="O31" t="s">
        <v>24</v>
      </c>
      <c r="P31" s="2">
        <f>AVERAGE(P15:P30)</f>
        <v>1.4606150307074472</v>
      </c>
    </row>
    <row r="33">
      <c r="A33" t="s">
        <v>27</v>
      </c>
    </row>
    <row r="34">
      <c r="A34" t="s">
        <v>20</v>
      </c>
    </row>
    <row r="35">
      <c r="A35" t="s">
        <v>16</v>
      </c>
      <c r="B35" t="s">
        <v>17</v>
      </c>
      <c r="C35" t="s">
        <v>18</v>
      </c>
      <c r="D35" t="s">
        <v>13</v>
      </c>
      <c r="E35" t="s">
        <v>14</v>
      </c>
      <c r="F35" t="s">
        <v>15</v>
      </c>
      <c r="H35" t="s">
        <v>0</v>
      </c>
      <c r="I35" t="s">
        <v>1</v>
      </c>
      <c r="K35" s="10"/>
      <c r="L35" s="10"/>
      <c r="M35" s="10"/>
      <c r="O35" t="s">
        <v>29</v>
      </c>
      <c r="P35" t="s">
        <v>30</v>
      </c>
    </row>
    <row r="36">
      <c r="A36" s="8">
        <v>1</v>
      </c>
      <c r="B36" s="8">
        <v>10</v>
      </c>
      <c r="C36" s="8">
        <v>0</v>
      </c>
      <c r="D36" s="8">
        <v>0.45800000000000002</v>
      </c>
      <c r="E36" s="8">
        <v>0.22800000000000001</v>
      </c>
      <c r="F36" s="8">
        <v>0</v>
      </c>
      <c r="G36" s="8"/>
      <c r="H36" s="9">
        <f>(12.25 * D36) - (2.55 * E36)</f>
        <v>5.0290999999999997</v>
      </c>
      <c r="I36" s="9">
        <f>(20.31*E36)-(4.91*D36)</f>
        <v>2.3818999999999999</v>
      </c>
      <c r="J36" s="9"/>
      <c r="K36" s="12"/>
      <c r="L36" s="12"/>
      <c r="M36" s="12"/>
      <c r="N36" s="8"/>
      <c r="O36" s="9">
        <f>(0.770092*H15)+0.393727</f>
        <v>5.0199006716000003</v>
      </c>
      <c r="P36" s="9">
        <f>(0.384596*I15)+0.737483</f>
        <v>2.3632549031199992</v>
      </c>
    </row>
    <row r="37">
      <c r="A37">
        <v>2</v>
      </c>
      <c r="B37">
        <v>9.5</v>
      </c>
      <c r="C37">
        <v>0.5</v>
      </c>
      <c r="H37" s="2">
        <f t="shared" ref="H37:H45" si="10">(12.25 * D37) - (2.55 * E37)</f>
        <v>0</v>
      </c>
      <c r="I37" s="2">
        <f t="shared" ref="I37:I45" si="11">(20.31*E37)-(4.91*D37)</f>
        <v>0</v>
      </c>
      <c r="J37" s="2"/>
      <c r="K37" s="11"/>
      <c r="L37" s="11"/>
      <c r="M37" s="11"/>
      <c r="O37" s="2">
        <f t="shared" ref="O37:O50" si="12">(0.770092*H16)+0.393727</f>
        <v>4.3594697723999998</v>
      </c>
      <c r="P37" s="2">
        <f t="shared" ref="P37:P51" si="13">(0.384596*I16)+0.737483</f>
        <v>2.1393892634399996</v>
      </c>
    </row>
    <row r="38">
      <c r="A38">
        <v>3</v>
      </c>
      <c r="B38">
        <v>9</v>
      </c>
      <c r="C38">
        <v>1</v>
      </c>
      <c r="H38" s="2">
        <f t="shared" si="10"/>
        <v>0</v>
      </c>
      <c r="I38" s="2">
        <f t="shared" si="11"/>
        <v>0</v>
      </c>
      <c r="J38" s="2"/>
      <c r="K38" s="11"/>
      <c r="L38" s="11"/>
      <c r="M38" s="11"/>
      <c r="O38" s="2">
        <f t="shared" si="12"/>
        <v>4.1511213818000003</v>
      </c>
      <c r="P38" s="2">
        <f t="shared" si="13"/>
        <v>2.0772423957999995</v>
      </c>
    </row>
    <row r="39">
      <c r="A39">
        <v>4</v>
      </c>
      <c r="B39">
        <v>8.5</v>
      </c>
      <c r="C39">
        <v>1.5</v>
      </c>
      <c r="H39" s="2">
        <f t="shared" si="10"/>
        <v>0</v>
      </c>
      <c r="I39" s="2">
        <f t="shared" si="11"/>
        <v>0</v>
      </c>
      <c r="J39" s="2"/>
      <c r="K39" s="11"/>
      <c r="L39" s="11"/>
      <c r="M39" s="11"/>
      <c r="O39" s="2">
        <f t="shared" si="12"/>
        <v>3.7729292006000001</v>
      </c>
      <c r="P39" s="2">
        <f t="shared" si="13"/>
        <v>1.8710604802000002</v>
      </c>
    </row>
    <row r="40">
      <c r="A40">
        <v>5</v>
      </c>
      <c r="B40">
        <v>8</v>
      </c>
      <c r="C40">
        <v>2</v>
      </c>
      <c r="H40" s="2">
        <f t="shared" si="10"/>
        <v>0</v>
      </c>
      <c r="I40" s="2">
        <f t="shared" si="11"/>
        <v>0</v>
      </c>
      <c r="J40" s="2"/>
      <c r="K40" s="11"/>
      <c r="L40" s="11"/>
      <c r="M40" s="11"/>
      <c r="O40" s="2">
        <f t="shared" si="12"/>
        <v>3.7269932128000005</v>
      </c>
      <c r="P40" s="2">
        <f t="shared" si="13"/>
        <v>2.1250515245599999</v>
      </c>
    </row>
    <row r="41">
      <c r="A41">
        <v>6</v>
      </c>
      <c r="B41">
        <v>7.5</v>
      </c>
      <c r="C41">
        <v>2.5</v>
      </c>
      <c r="H41" s="2">
        <f t="shared" si="10"/>
        <v>0</v>
      </c>
      <c r="I41" s="2">
        <f t="shared" si="11"/>
        <v>0</v>
      </c>
      <c r="J41" s="2"/>
      <c r="K41" s="11"/>
      <c r="L41" s="11"/>
      <c r="M41" s="11"/>
      <c r="O41" s="2">
        <f t="shared" si="12"/>
        <v>3.5170276290000007</v>
      </c>
      <c r="P41" s="2">
        <f t="shared" si="13"/>
        <v>1.8555228017999994</v>
      </c>
    </row>
    <row r="42">
      <c r="A42">
        <v>7</v>
      </c>
      <c r="B42">
        <v>7</v>
      </c>
      <c r="C42">
        <v>3</v>
      </c>
      <c r="H42" s="2">
        <f t="shared" si="10"/>
        <v>0</v>
      </c>
      <c r="I42" s="2">
        <f t="shared" si="11"/>
        <v>0</v>
      </c>
      <c r="J42" s="2"/>
      <c r="K42" s="11"/>
      <c r="L42" s="11"/>
      <c r="M42" s="11"/>
      <c r="O42" s="2">
        <f t="shared" si="12"/>
        <v>3.4439073936</v>
      </c>
      <c r="P42" s="2">
        <f t="shared" si="13"/>
        <v>1.8256512304800001</v>
      </c>
    </row>
    <row r="43">
      <c r="A43">
        <v>8</v>
      </c>
      <c r="B43">
        <v>6.5</v>
      </c>
      <c r="C43">
        <v>3.5</v>
      </c>
      <c r="H43" s="2">
        <f t="shared" si="10"/>
        <v>0</v>
      </c>
      <c r="I43" s="2">
        <f t="shared" si="11"/>
        <v>0</v>
      </c>
      <c r="J43" s="2"/>
      <c r="K43" s="11"/>
      <c r="L43" s="11"/>
      <c r="M43" s="11"/>
      <c r="O43" s="2">
        <f t="shared" si="12"/>
        <v>3.2776445308</v>
      </c>
      <c r="P43" s="2">
        <f t="shared" si="13"/>
        <v>1.8811868928800002</v>
      </c>
    </row>
    <row r="44">
      <c r="A44" s="8">
        <v>9</v>
      </c>
      <c r="B44" s="8">
        <v>6</v>
      </c>
      <c r="C44" s="8">
        <v>4</v>
      </c>
      <c r="D44" s="8">
        <v>0.248</v>
      </c>
      <c r="E44" s="8">
        <v>0.128</v>
      </c>
      <c r="F44" s="8"/>
      <c r="G44" s="8"/>
      <c r="H44" s="9">
        <f t="shared" si="10"/>
        <v>2.7115999999999998</v>
      </c>
      <c r="I44" s="9">
        <f t="shared" si="11"/>
        <v>1.3819999999999997</v>
      </c>
      <c r="J44" s="9"/>
      <c r="K44" s="12"/>
      <c r="L44" s="12"/>
      <c r="M44" s="12"/>
      <c r="N44" s="8"/>
      <c r="O44" s="9">
        <f t="shared" si="12"/>
        <v>2.7398122779999996</v>
      </c>
      <c r="P44" s="9">
        <f t="shared" si="13"/>
        <v>1.4547468480800001</v>
      </c>
    </row>
    <row r="45">
      <c r="A45">
        <v>10</v>
      </c>
      <c r="B45">
        <v>5.5</v>
      </c>
      <c r="C45">
        <v>4.5</v>
      </c>
      <c r="H45" s="2">
        <f t="shared" si="10"/>
        <v>0</v>
      </c>
      <c r="I45" s="2">
        <f t="shared" si="11"/>
        <v>0</v>
      </c>
      <c r="J45" s="2"/>
      <c r="K45" s="11"/>
      <c r="L45" s="11"/>
      <c r="M45" s="11"/>
      <c r="O45" s="2">
        <f t="shared" si="12"/>
        <v>2.4673922330000004</v>
      </c>
      <c r="P45" s="2">
        <f t="shared" si="13"/>
        <v>1.3980074001999998</v>
      </c>
    </row>
    <row r="46">
      <c r="A46">
        <v>11</v>
      </c>
      <c r="B46">
        <v>5</v>
      </c>
      <c r="C46">
        <v>5</v>
      </c>
      <c r="H46" s="2">
        <f>(12.25 * D46) - (2.55 * E46)</f>
        <v>0</v>
      </c>
      <c r="I46" s="2">
        <f>(20.31*E46)-(4.91*D46)</f>
        <v>0</v>
      </c>
      <c r="J46" s="2"/>
      <c r="K46" s="11"/>
      <c r="L46" s="11"/>
      <c r="M46" s="11"/>
      <c r="O46" s="2">
        <f t="shared" si="12"/>
        <v>2.6903338669999997</v>
      </c>
      <c r="P46" s="2">
        <f t="shared" si="13"/>
        <v>1.6871928245199999</v>
      </c>
    </row>
    <row r="47">
      <c r="A47">
        <v>12</v>
      </c>
      <c r="B47">
        <v>4.5</v>
      </c>
      <c r="C47">
        <v>5.5</v>
      </c>
      <c r="H47" s="2">
        <f t="shared" ref="H47:H50" si="14">(12.25 * D47) - (2.55 * E47)</f>
        <v>0</v>
      </c>
      <c r="I47" s="2">
        <f t="shared" ref="I47:I50" si="15">(20.31*E47)-(4.91*D47)</f>
        <v>0</v>
      </c>
      <c r="J47" s="2"/>
      <c r="K47" s="11"/>
      <c r="L47" s="11"/>
      <c r="M47" s="11"/>
      <c r="O47" s="2">
        <f t="shared" si="12"/>
        <v>2.1949721879999999</v>
      </c>
      <c r="P47" s="2">
        <f t="shared" si="13"/>
        <v>1.34126795232</v>
      </c>
    </row>
    <row r="48">
      <c r="A48" s="8">
        <v>13</v>
      </c>
      <c r="B48" s="8">
        <v>4</v>
      </c>
      <c r="C48" s="8">
        <v>6</v>
      </c>
      <c r="D48" s="8">
        <v>0.187</v>
      </c>
      <c r="E48" s="8">
        <v>0.107</v>
      </c>
      <c r="F48" s="8"/>
      <c r="G48" s="8"/>
      <c r="H48" s="9">
        <f t="shared" si="14"/>
        <v>2.0179</v>
      </c>
      <c r="I48" s="9">
        <f t="shared" si="15"/>
        <v>1.2549999999999999</v>
      </c>
      <c r="J48" s="9"/>
      <c r="K48" s="12"/>
      <c r="L48" s="12"/>
      <c r="M48" s="12"/>
      <c r="N48" s="8"/>
      <c r="O48" s="9">
        <f t="shared" si="12"/>
        <v>1.9968275163999998</v>
      </c>
      <c r="P48" s="9">
        <f t="shared" si="13"/>
        <v>1.2028980034400001</v>
      </c>
    </row>
    <row r="49">
      <c r="A49">
        <v>14</v>
      </c>
      <c r="B49">
        <v>3.5</v>
      </c>
      <c r="C49">
        <v>6.5</v>
      </c>
      <c r="H49" s="2">
        <f t="shared" si="14"/>
        <v>0</v>
      </c>
      <c r="I49" s="2">
        <f t="shared" si="15"/>
        <v>0</v>
      </c>
      <c r="J49" s="2"/>
      <c r="K49" s="11"/>
      <c r="L49" s="11"/>
      <c r="M49" s="11"/>
      <c r="O49" s="2">
        <f t="shared" si="12"/>
        <v>1.7275648485999999</v>
      </c>
      <c r="P49" s="2">
        <f t="shared" si="13"/>
        <v>1.20487098092</v>
      </c>
    </row>
    <row r="50">
      <c r="A50">
        <v>15</v>
      </c>
      <c r="B50">
        <v>3</v>
      </c>
      <c r="C50">
        <v>7</v>
      </c>
      <c r="H50" s="2">
        <f t="shared" si="14"/>
        <v>0</v>
      </c>
      <c r="I50" s="2">
        <f t="shared" si="15"/>
        <v>0</v>
      </c>
      <c r="J50" s="2"/>
      <c r="K50" s="11"/>
      <c r="L50" s="11"/>
      <c r="M50" s="11"/>
      <c r="O50" s="2">
        <f t="shared" si="12"/>
        <v>1.5537935888000001</v>
      </c>
      <c r="P50" s="2">
        <f t="shared" si="13"/>
        <v>1.0764582224799999</v>
      </c>
    </row>
    <row r="51">
      <c r="A51">
        <v>16</v>
      </c>
      <c r="B51">
        <v>2.5</v>
      </c>
      <c r="C51">
        <v>7.5</v>
      </c>
      <c r="H51" s="2">
        <f>(12.25 * D51) - (2.55 * E51)</f>
        <v>0</v>
      </c>
      <c r="I51" s="2">
        <f>(20.31*E51)-(4.91*D51)</f>
        <v>0</v>
      </c>
      <c r="J51" s="2"/>
      <c r="K51" s="11"/>
      <c r="L51" s="11"/>
      <c r="M51" s="11"/>
      <c r="O51" s="2">
        <f>(0.770092*H30)+0.393727</f>
        <v>1.3340478365999999</v>
      </c>
      <c r="P51" s="2">
        <f t="shared" si="13"/>
        <v>1.0240108659599998</v>
      </c>
    </row>
    <row r="52">
      <c r="K52" s="10"/>
      <c r="L52" s="10"/>
      <c r="M52" s="10"/>
    </row>
    <row r="54">
      <c r="A54" t="s">
        <v>21</v>
      </c>
    </row>
    <row r="55">
      <c r="A55" t="s">
        <v>16</v>
      </c>
      <c r="B55" t="s">
        <v>17</v>
      </c>
      <c r="C55" t="s">
        <v>18</v>
      </c>
      <c r="D55" t="s">
        <v>13</v>
      </c>
      <c r="E55" t="s">
        <v>14</v>
      </c>
      <c r="F55" t="s">
        <v>15</v>
      </c>
      <c r="H55" t="s">
        <v>0</v>
      </c>
      <c r="I55" t="s">
        <v>1</v>
      </c>
    </row>
    <row r="56">
      <c r="A56">
        <v>1</v>
      </c>
      <c r="B56">
        <v>10</v>
      </c>
      <c r="C56">
        <v>0</v>
      </c>
      <c r="D56">
        <v>0</v>
      </c>
      <c r="E56">
        <v>0</v>
      </c>
      <c r="F56">
        <v>0</v>
      </c>
      <c r="H56" s="2">
        <f>(12.25 * D56) - (2.55 * E56)</f>
        <v>0</v>
      </c>
      <c r="I56" s="2">
        <f>(20.31*E56)-(4.91*D56)</f>
        <v>0</v>
      </c>
      <c r="J56" s="2"/>
      <c r="K56" s="2"/>
      <c r="L56" s="2"/>
      <c r="M56" s="2"/>
      <c r="O56" s="2">
        <f>(0.780173*H15)+0.470645</f>
        <v>5.1573782629000009</v>
      </c>
      <c r="P56" s="2">
        <f>(-0.0314999*I15)+1.81135</f>
        <v>1.6781929927220001</v>
      </c>
    </row>
    <row r="57">
      <c r="A57">
        <v>2</v>
      </c>
      <c r="B57">
        <v>9.5</v>
      </c>
      <c r="C57">
        <v>0.5</v>
      </c>
      <c r="H57" s="2">
        <f t="shared" ref="H57:H65" si="16">(12.25 * D57) - (2.55 * E57)</f>
        <v>0</v>
      </c>
      <c r="I57" s="2">
        <f t="shared" ref="I57:I65" si="17">(20.31*E57)-(4.91*D57)</f>
        <v>0</v>
      </c>
      <c r="J57" s="2"/>
      <c r="K57" s="2"/>
      <c r="L57" s="2"/>
      <c r="M57" s="2"/>
      <c r="O57" s="2">
        <f t="shared" ref="O57:O71" si="18">(0.780173*H16)+0.470645</f>
        <v>4.4883018980999996</v>
      </c>
      <c r="P57" s="2">
        <f t="shared" ref="P57:P71" si="19">(-0.0314999*I16)+1.81135</f>
        <v>1.696528454514</v>
      </c>
    </row>
    <row r="58">
      <c r="A58">
        <v>3</v>
      </c>
      <c r="B58">
        <v>9</v>
      </c>
      <c r="C58">
        <v>1</v>
      </c>
      <c r="H58" s="2">
        <f t="shared" si="16"/>
        <v>0</v>
      </c>
      <c r="I58" s="2">
        <f t="shared" si="17"/>
        <v>0</v>
      </c>
      <c r="J58" s="2"/>
      <c r="K58" s="2"/>
      <c r="L58" s="2"/>
      <c r="M58" s="2"/>
      <c r="O58" s="2">
        <f t="shared" si="18"/>
        <v>4.2772260929500003</v>
      </c>
      <c r="P58" s="2">
        <f t="shared" si="19"/>
        <v>1.7016185233550001</v>
      </c>
    </row>
    <row r="59">
      <c r="A59" s="8">
        <v>4</v>
      </c>
      <c r="B59" s="8">
        <v>8.5</v>
      </c>
      <c r="C59" s="8">
        <v>1.5</v>
      </c>
      <c r="D59" s="8">
        <v>0.38900000000000001</v>
      </c>
      <c r="E59" s="8">
        <v>0.192</v>
      </c>
      <c r="F59" s="8"/>
      <c r="G59" s="8"/>
      <c r="H59" s="9">
        <f t="shared" si="16"/>
        <v>4.2756499999999997</v>
      </c>
      <c r="I59" s="9">
        <f t="shared" si="17"/>
        <v>1.9895299999999998</v>
      </c>
      <c r="J59" s="9"/>
      <c r="K59" s="9"/>
      <c r="L59" s="9"/>
      <c r="M59" s="9"/>
      <c r="N59" s="8"/>
      <c r="O59" s="9">
        <f t="shared" si="18"/>
        <v>3.8940831326499996</v>
      </c>
      <c r="P59" s="9">
        <f t="shared" si="19"/>
        <v>1.7185056197449999</v>
      </c>
    </row>
    <row r="60">
      <c r="A60">
        <v>5</v>
      </c>
      <c r="B60">
        <v>8</v>
      </c>
      <c r="C60">
        <v>2</v>
      </c>
      <c r="H60" s="2">
        <f t="shared" si="16"/>
        <v>0</v>
      </c>
      <c r="I60" s="2">
        <f t="shared" si="17"/>
        <v>0</v>
      </c>
      <c r="J60" s="2"/>
      <c r="K60" s="2"/>
      <c r="L60" s="2"/>
      <c r="M60" s="2"/>
      <c r="O60" s="2">
        <f t="shared" si="18"/>
        <v>3.8475458132</v>
      </c>
      <c r="P60" s="2">
        <f t="shared" si="19"/>
        <v>1.697702770786</v>
      </c>
    </row>
    <row r="61">
      <c r="A61" s="8">
        <v>6</v>
      </c>
      <c r="B61" s="8">
        <v>7.5</v>
      </c>
      <c r="C61" s="8">
        <v>2.5</v>
      </c>
      <c r="D61" s="8">
        <v>0.28899999999999998</v>
      </c>
      <c r="E61" s="8">
        <v>0.14099999999999999</v>
      </c>
      <c r="F61" s="8"/>
      <c r="G61" s="8"/>
      <c r="H61" s="9">
        <f t="shared" si="16"/>
        <v>3.1806999999999999</v>
      </c>
      <c r="I61" s="9">
        <f t="shared" si="17"/>
        <v>1.4447199999999998</v>
      </c>
      <c r="J61" s="9"/>
      <c r="K61" s="9"/>
      <c r="L61" s="9"/>
      <c r="M61" s="9"/>
      <c r="N61" s="8"/>
      <c r="O61" s="9">
        <f t="shared" si="18"/>
        <v>3.6348316447500002</v>
      </c>
      <c r="P61" s="9">
        <f t="shared" si="19"/>
        <v>1.7197782157050001</v>
      </c>
    </row>
    <row r="62">
      <c r="A62">
        <v>7</v>
      </c>
      <c r="B62">
        <v>7</v>
      </c>
      <c r="C62">
        <v>3</v>
      </c>
      <c r="H62" s="2">
        <f t="shared" si="16"/>
        <v>0</v>
      </c>
      <c r="I62" s="2">
        <f t="shared" si="17"/>
        <v>0</v>
      </c>
      <c r="J62" s="2"/>
      <c r="K62" s="2"/>
      <c r="L62" s="2"/>
      <c r="M62" s="2"/>
      <c r="O62" s="2">
        <f t="shared" si="18"/>
        <v>3.5607542183999996</v>
      </c>
      <c r="P62" s="2">
        <f t="shared" si="19"/>
        <v>1.722224812938</v>
      </c>
    </row>
    <row r="63">
      <c r="A63">
        <v>8</v>
      </c>
      <c r="B63">
        <v>6.5</v>
      </c>
      <c r="C63">
        <v>3.5</v>
      </c>
      <c r="H63" s="2">
        <f t="shared" si="16"/>
        <v>0</v>
      </c>
      <c r="I63" s="2">
        <f t="shared" si="17"/>
        <v>0</v>
      </c>
      <c r="J63" s="2"/>
      <c r="K63" s="2"/>
      <c r="L63" s="2"/>
      <c r="M63" s="2"/>
      <c r="O63" s="2">
        <f t="shared" si="18"/>
        <v>3.3923148676999997</v>
      </c>
      <c r="P63" s="2">
        <f t="shared" si="19"/>
        <v>1.717676227378</v>
      </c>
    </row>
    <row r="64">
      <c r="A64">
        <v>9</v>
      </c>
      <c r="B64">
        <v>6</v>
      </c>
      <c r="C64">
        <v>4</v>
      </c>
      <c r="H64" s="2">
        <f t="shared" si="16"/>
        <v>0</v>
      </c>
      <c r="I64" s="2">
        <f t="shared" si="17"/>
        <v>0</v>
      </c>
      <c r="J64" s="2"/>
      <c r="K64" s="2"/>
      <c r="L64" s="2"/>
      <c r="M64" s="2"/>
      <c r="O64" s="2">
        <f t="shared" si="18"/>
        <v>2.8474420444999993</v>
      </c>
      <c r="P64" s="2">
        <f t="shared" si="19"/>
        <v>1.7526033164979999</v>
      </c>
    </row>
    <row r="65">
      <c r="A65">
        <v>10</v>
      </c>
      <c r="B65">
        <v>5.5</v>
      </c>
      <c r="C65">
        <v>4.5</v>
      </c>
      <c r="H65" s="2">
        <f t="shared" si="16"/>
        <v>0</v>
      </c>
      <c r="I65" s="2">
        <f t="shared" si="17"/>
        <v>0</v>
      </c>
      <c r="J65" s="2"/>
      <c r="K65" s="2"/>
      <c r="L65" s="2"/>
      <c r="M65" s="2"/>
      <c r="O65" s="2">
        <f t="shared" si="18"/>
        <v>2.5714558457500001</v>
      </c>
      <c r="P65" s="2">
        <f t="shared" si="19"/>
        <v>1.757250496745</v>
      </c>
    </row>
    <row r="66">
      <c r="A66">
        <v>11</v>
      </c>
      <c r="B66">
        <v>5</v>
      </c>
      <c r="C66">
        <v>5</v>
      </c>
      <c r="H66" s="2">
        <f>(12.25 * D66) - (2.55 * E66)</f>
        <v>0</v>
      </c>
      <c r="I66" s="2">
        <f>(20.31*E66)-(4.91*D66)</f>
        <v>0</v>
      </c>
      <c r="J66" s="2"/>
      <c r="K66" s="2"/>
      <c r="L66" s="2"/>
      <c r="M66" s="2"/>
      <c r="O66" s="2">
        <f t="shared" si="18"/>
        <v>2.7973159292499998</v>
      </c>
      <c r="P66" s="2">
        <f t="shared" si="19"/>
        <v>1.733565091937</v>
      </c>
    </row>
    <row r="67">
      <c r="A67" s="8">
        <v>12</v>
      </c>
      <c r="B67" s="8">
        <v>4.5</v>
      </c>
      <c r="C67" s="8">
        <v>5.5</v>
      </c>
      <c r="D67" s="8">
        <v>0.223</v>
      </c>
      <c r="E67" s="8">
        <v>0.14099999999999999</v>
      </c>
      <c r="F67" s="8"/>
      <c r="G67" s="8"/>
      <c r="H67" s="9">
        <f t="shared" ref="H67:H71" si="20">(12.25 * D67) - (2.55 * E67)</f>
        <v>2.3721999999999999</v>
      </c>
      <c r="I67" s="9">
        <f t="shared" ref="I67:I71" si="21">(20.31*E67)-(4.91*D67)</f>
        <v>1.7687799999999998</v>
      </c>
      <c r="J67" s="9"/>
      <c r="K67" s="9"/>
      <c r="L67" s="9"/>
      <c r="M67" s="9"/>
      <c r="N67" s="8"/>
      <c r="O67" s="9">
        <f t="shared" si="18"/>
        <v>2.295469647</v>
      </c>
      <c r="P67" s="9">
        <f t="shared" si="19"/>
        <v>1.7618976769920001</v>
      </c>
    </row>
    <row r="68">
      <c r="A68">
        <v>13</v>
      </c>
      <c r="B68">
        <v>4</v>
      </c>
      <c r="C68">
        <v>6</v>
      </c>
      <c r="H68" s="2">
        <f t="shared" si="20"/>
        <v>0</v>
      </c>
      <c r="I68" s="2">
        <f t="shared" si="21"/>
        <v>0</v>
      </c>
      <c r="J68" s="2"/>
      <c r="K68" s="2"/>
      <c r="L68" s="2"/>
      <c r="M68" s="2"/>
      <c r="O68" s="2">
        <f t="shared" si="18"/>
        <v>2.0947311340999999</v>
      </c>
      <c r="P68" s="2">
        <f t="shared" si="19"/>
        <v>1.773230711014</v>
      </c>
    </row>
    <row r="69">
      <c r="A69">
        <v>14</v>
      </c>
      <c r="B69">
        <v>3.5</v>
      </c>
      <c r="C69">
        <v>6.5</v>
      </c>
      <c r="H69" s="2">
        <f t="shared" si="20"/>
        <v>0</v>
      </c>
      <c r="I69" s="2">
        <f t="shared" si="21"/>
        <v>0</v>
      </c>
      <c r="J69" s="2"/>
      <c r="K69" s="2"/>
      <c r="L69" s="2"/>
      <c r="M69" s="2"/>
      <c r="O69" s="2">
        <f t="shared" si="18"/>
        <v>1.8219436446500001</v>
      </c>
      <c r="P69" s="2">
        <f t="shared" si="19"/>
        <v>1.7730691165270001</v>
      </c>
    </row>
    <row r="70">
      <c r="A70">
        <v>15</v>
      </c>
      <c r="B70">
        <v>3</v>
      </c>
      <c r="C70">
        <v>7</v>
      </c>
      <c r="H70" s="2">
        <f t="shared" si="20"/>
        <v>0</v>
      </c>
      <c r="I70" s="2">
        <f t="shared" si="21"/>
        <v>0</v>
      </c>
      <c r="J70" s="2"/>
      <c r="K70" s="2"/>
      <c r="L70" s="2"/>
      <c r="M70" s="2"/>
      <c r="O70" s="2">
        <f t="shared" si="18"/>
        <v>1.6458976072000002</v>
      </c>
      <c r="P70" s="2">
        <f t="shared" si="19"/>
        <v>1.783586618138</v>
      </c>
    </row>
    <row r="71">
      <c r="A71">
        <v>16</v>
      </c>
      <c r="B71">
        <v>2.5</v>
      </c>
      <c r="C71">
        <v>7.5</v>
      </c>
      <c r="H71" s="2">
        <f t="shared" si="20"/>
        <v>0</v>
      </c>
      <c r="I71" s="2">
        <f t="shared" si="21"/>
        <v>0</v>
      </c>
      <c r="J71" s="2"/>
      <c r="K71" s="2"/>
      <c r="L71" s="2"/>
      <c r="M71" s="2"/>
      <c r="O71" s="2">
        <f t="shared" si="18"/>
        <v>1.4232752416499999</v>
      </c>
      <c r="P71" s="2">
        <f t="shared" si="19"/>
        <v>1.787882259501</v>
      </c>
    </row>
  </sheetData>
  <pageMargins left="0.69999999999999996" right="0.69999999999999996" top="0.75" bottom="0.75" header="0.29999999999999999" footer="0.29999999999999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7" workbookViewId="0">
      <selection activeCell="F89" sqref="F89"/>
    </sheetView>
  </sheetViews>
  <sheetFormatPr defaultRowHeight="14.4"/>
  <cols>
    <col bestFit="1" customWidth="1" min="2" max="2" width="21.77734375"/>
    <col bestFit="1" customWidth="1" min="3" max="3" width="11.109375"/>
    <col bestFit="1" customWidth="1" min="4" max="5" width="9.33203125"/>
    <col customWidth="1" min="6" max="7" width="8.88671875"/>
    <col customWidth="1" min="15" max="16" width="13"/>
  </cols>
  <sheetData>
    <row r="6">
      <c r="A6" t="s">
        <v>22</v>
      </c>
    </row>
    <row r="9">
      <c r="A9" t="s">
        <v>16</v>
      </c>
      <c r="B9" t="s">
        <v>17</v>
      </c>
      <c r="C9" t="s">
        <v>18</v>
      </c>
      <c r="D9" t="s">
        <v>13</v>
      </c>
      <c r="E9" t="s">
        <v>14</v>
      </c>
      <c r="F9" t="s">
        <v>15</v>
      </c>
      <c r="H9" s="6" t="s">
        <v>0</v>
      </c>
      <c r="I9" s="6" t="s">
        <v>1</v>
      </c>
      <c r="K9" s="4" t="s">
        <v>2</v>
      </c>
      <c r="L9" s="4" t="s">
        <v>3</v>
      </c>
      <c r="M9" t="s">
        <v>4</v>
      </c>
      <c r="O9" t="s">
        <v>23</v>
      </c>
    </row>
    <row r="10">
      <c r="A10">
        <v>1</v>
      </c>
      <c r="B10">
        <v>10</v>
      </c>
      <c r="C10">
        <v>0</v>
      </c>
      <c r="D10" s="1">
        <v>0.36499999999999999</v>
      </c>
      <c r="E10" s="1">
        <v>0.186</v>
      </c>
      <c r="F10">
        <v>0</v>
      </c>
      <c r="H10" s="7">
        <f>(12.25 * D10) - (2.55 * E10)</f>
        <v>3.9969499999999996</v>
      </c>
      <c r="I10" s="7">
        <f>(20.31*E10)-(4.91*D10)</f>
        <v>1.9855099999999997</v>
      </c>
      <c r="J10" s="2"/>
      <c r="K10" s="5">
        <f>12.25*D10 -2.79*E10</f>
        <v>3.9523099999999998</v>
      </c>
      <c r="L10" s="5">
        <f>21.5*E10-5.1*D10</f>
        <v>2.1375000000000002</v>
      </c>
      <c r="M10" s="2">
        <f>(1000*F10 -1.82*K10 - 85.02*L10)/198</f>
        <v>-0.9541588595959597</v>
      </c>
      <c r="O10" s="2">
        <f>H10/I10</f>
        <v>2.0130596169246191</v>
      </c>
    </row>
    <row r="11">
      <c r="A11">
        <v>2</v>
      </c>
      <c r="B11">
        <v>9.5</v>
      </c>
      <c r="C11">
        <v>0.5</v>
      </c>
      <c r="D11" s="1">
        <v>0.33100000000000002</v>
      </c>
      <c r="E11" s="1">
        <v>0.17299999999999999</v>
      </c>
      <c r="H11" s="7">
        <f>(12.25 * D11) - (2.55 * E11)</f>
        <v>3.6136000000000004</v>
      </c>
      <c r="I11" s="7">
        <f t="shared" ref="I11:I25" si="0">(20.31*E11)-(4.91*D11)</f>
        <v>1.8884199999999995</v>
      </c>
      <c r="J11" s="2"/>
      <c r="K11" s="5">
        <f t="shared" ref="K11:K25" si="1">12.25*D11 -2.79*E11</f>
        <v>3.5720800000000001</v>
      </c>
      <c r="L11" s="5">
        <f t="shared" ref="L11:L25" si="2">21.5*E11-5.1*D11</f>
        <v>2.0313999999999997</v>
      </c>
      <c r="M11" s="2">
        <f t="shared" ref="M11:M25" si="3">(1000*F11 -1.82*K11 - 85.02*L11)/198</f>
        <v>-0.90510511919191905</v>
      </c>
      <c r="O11" s="2">
        <f t="shared" ref="O11:O25" si="4">H11/I11</f>
        <v>1.9135573654165923</v>
      </c>
    </row>
    <row r="12">
      <c r="A12">
        <v>3</v>
      </c>
      <c r="B12">
        <v>9</v>
      </c>
      <c r="C12">
        <v>1</v>
      </c>
      <c r="D12" s="1">
        <v>0.318</v>
      </c>
      <c r="E12" s="1">
        <v>0.16500000000000001</v>
      </c>
      <c r="H12" s="7">
        <f t="shared" ref="H12:H25" si="5">(12.25 * D12) - (2.55 * E12)</f>
        <v>3.4747500000000002</v>
      </c>
      <c r="I12" s="7">
        <f t="shared" si="0"/>
        <v>1.7897700000000001</v>
      </c>
      <c r="J12" s="2"/>
      <c r="K12" s="5">
        <f t="shared" si="1"/>
        <v>3.4351500000000001</v>
      </c>
      <c r="L12" s="5">
        <f t="shared" si="2"/>
        <v>1.9257000000000004</v>
      </c>
      <c r="M12" s="2">
        <f t="shared" si="3"/>
        <v>-0.85845953030303046</v>
      </c>
      <c r="O12" s="2">
        <f t="shared" si="4"/>
        <v>1.9414505774484989</v>
      </c>
    </row>
    <row r="13">
      <c r="A13">
        <v>4</v>
      </c>
      <c r="B13">
        <v>8.5</v>
      </c>
      <c r="C13">
        <v>1.5</v>
      </c>
      <c r="D13" s="1">
        <v>0.29999999999999999</v>
      </c>
      <c r="E13" s="1">
        <v>0.16</v>
      </c>
      <c r="H13" s="7">
        <f t="shared" si="5"/>
        <v>3.2669999999999999</v>
      </c>
      <c r="I13" s="7">
        <f t="shared" si="0"/>
        <v>1.7766</v>
      </c>
      <c r="J13" s="2"/>
      <c r="K13" s="5">
        <f t="shared" si="1"/>
        <v>3.2285999999999997</v>
      </c>
      <c r="L13" s="5">
        <f t="shared" si="2"/>
        <v>1.9100000000000001</v>
      </c>
      <c r="M13" s="2">
        <f t="shared" si="3"/>
        <v>-0.84981945454545449</v>
      </c>
      <c r="O13" s="2">
        <f t="shared" si="4"/>
        <v>1.8389057750759878</v>
      </c>
    </row>
    <row r="14">
      <c r="A14">
        <v>5</v>
      </c>
      <c r="B14">
        <v>8</v>
      </c>
      <c r="C14">
        <v>2</v>
      </c>
      <c r="D14" s="1">
        <v>0.29699999999999999</v>
      </c>
      <c r="E14" s="1">
        <v>0.16700000000000001</v>
      </c>
      <c r="H14" s="7">
        <f t="shared" si="5"/>
        <v>3.2123999999999997</v>
      </c>
      <c r="I14" s="7">
        <f t="shared" si="0"/>
        <v>1.9335000000000002</v>
      </c>
      <c r="J14" s="2"/>
      <c r="K14" s="5">
        <f t="shared" si="1"/>
        <v>3.1723199999999996</v>
      </c>
      <c r="L14" s="5">
        <f t="shared" si="2"/>
        <v>2.0758000000000001</v>
      </c>
      <c r="M14" s="2">
        <f t="shared" si="3"/>
        <v>-0.92049564848484855</v>
      </c>
      <c r="O14" s="2">
        <f t="shared" si="4"/>
        <v>1.6614429790535294</v>
      </c>
    </row>
    <row r="15">
      <c r="A15">
        <v>6</v>
      </c>
      <c r="B15">
        <v>7.5</v>
      </c>
      <c r="C15">
        <v>2.5</v>
      </c>
      <c r="D15" s="1">
        <v>0.26100000000000001</v>
      </c>
      <c r="E15" s="1">
        <v>0.156</v>
      </c>
      <c r="H15" s="7">
        <f t="shared" si="5"/>
        <v>2.7994499999999998</v>
      </c>
      <c r="I15" s="7">
        <f t="shared" si="0"/>
        <v>1.8868499999999997</v>
      </c>
      <c r="J15" s="2"/>
      <c r="K15" s="5">
        <f t="shared" si="1"/>
        <v>2.7620100000000001</v>
      </c>
      <c r="L15" s="5">
        <f t="shared" si="2"/>
        <v>2.0228999999999999</v>
      </c>
      <c r="M15" s="2">
        <f t="shared" si="3"/>
        <v>-0.89400917272727265</v>
      </c>
      <c r="O15" s="2">
        <f t="shared" si="4"/>
        <v>1.4836632482709278</v>
      </c>
    </row>
    <row r="16">
      <c r="A16">
        <v>7</v>
      </c>
      <c r="B16">
        <v>7</v>
      </c>
      <c r="C16">
        <v>3</v>
      </c>
      <c r="D16" s="1">
        <v>0.252</v>
      </c>
      <c r="E16" s="1">
        <v>0.13900000000000001</v>
      </c>
      <c r="H16" s="7">
        <f t="shared" si="5"/>
        <v>2.7325500000000003</v>
      </c>
      <c r="I16" s="7">
        <f t="shared" si="0"/>
        <v>1.5857700000000001</v>
      </c>
      <c r="J16" s="2"/>
      <c r="K16" s="5">
        <f t="shared" si="1"/>
        <v>2.6991900000000002</v>
      </c>
      <c r="L16" s="5">
        <f t="shared" si="2"/>
        <v>1.7033000000000003</v>
      </c>
      <c r="M16" s="2">
        <f t="shared" si="3"/>
        <v>-0.75619743333333334</v>
      </c>
      <c r="O16" s="2">
        <f t="shared" si="4"/>
        <v>1.7231691859475209</v>
      </c>
    </row>
    <row r="17">
      <c r="A17">
        <v>8</v>
      </c>
      <c r="B17">
        <v>6.5</v>
      </c>
      <c r="C17">
        <v>3.5</v>
      </c>
      <c r="D17" s="1">
        <v>0.23799999999999999</v>
      </c>
      <c r="E17" s="1">
        <v>0.13500000000000001</v>
      </c>
      <c r="H17" s="7">
        <f t="shared" si="5"/>
        <v>2.5712499999999996</v>
      </c>
      <c r="I17" s="7">
        <f t="shared" si="0"/>
        <v>1.5732699999999999</v>
      </c>
      <c r="J17" s="2"/>
      <c r="K17" s="5">
        <f t="shared" si="1"/>
        <v>2.5388499999999996</v>
      </c>
      <c r="L17" s="5">
        <f t="shared" si="2"/>
        <v>1.6887000000000005</v>
      </c>
      <c r="M17" s="2">
        <f t="shared" si="3"/>
        <v>-0.74845444949494966</v>
      </c>
      <c r="O17" s="2">
        <f t="shared" si="4"/>
        <v>1.6343348566997398</v>
      </c>
    </row>
    <row r="18">
      <c r="A18">
        <v>9</v>
      </c>
      <c r="B18">
        <v>6</v>
      </c>
      <c r="C18">
        <v>4</v>
      </c>
      <c r="D18" s="1">
        <v>0.214</v>
      </c>
      <c r="E18" s="1">
        <v>0.12</v>
      </c>
      <c r="H18" s="7">
        <f t="shared" si="5"/>
        <v>2.3155000000000001</v>
      </c>
      <c r="I18" s="7">
        <f t="shared" si="0"/>
        <v>1.3864599999999998</v>
      </c>
      <c r="J18" s="2"/>
      <c r="K18" s="5">
        <f t="shared" si="1"/>
        <v>2.2867000000000002</v>
      </c>
      <c r="L18" s="5">
        <f t="shared" si="2"/>
        <v>1.4886000000000001</v>
      </c>
      <c r="M18" s="2">
        <f t="shared" si="3"/>
        <v>-0.66021497979797983</v>
      </c>
      <c r="O18" s="2">
        <f t="shared" si="4"/>
        <v>1.6700806370180175</v>
      </c>
    </row>
    <row r="19">
      <c r="A19">
        <v>10</v>
      </c>
      <c r="B19">
        <v>5.5</v>
      </c>
      <c r="C19">
        <v>4.5</v>
      </c>
      <c r="D19" s="1">
        <v>0.189</v>
      </c>
      <c r="E19" s="1">
        <v>0.10299999999999999</v>
      </c>
      <c r="H19" s="7">
        <f t="shared" si="5"/>
        <v>2.0526</v>
      </c>
      <c r="I19" s="7">
        <f t="shared" si="0"/>
        <v>1.1639399999999998</v>
      </c>
      <c r="J19" s="2"/>
      <c r="K19" s="5">
        <f t="shared" si="1"/>
        <v>2.0278799999999997</v>
      </c>
      <c r="L19" s="5">
        <f t="shared" si="2"/>
        <v>1.2505999999999997</v>
      </c>
      <c r="M19" s="2">
        <f t="shared" si="3"/>
        <v>-0.55564016969696961</v>
      </c>
      <c r="O19" s="2">
        <f t="shared" si="4"/>
        <v>1.7634929635548229</v>
      </c>
    </row>
    <row r="20">
      <c r="A20">
        <v>11</v>
      </c>
      <c r="B20">
        <v>5</v>
      </c>
      <c r="C20">
        <v>5</v>
      </c>
      <c r="D20" s="1">
        <v>0.159</v>
      </c>
      <c r="E20" s="1">
        <v>7.9000000000000001e-002</v>
      </c>
      <c r="H20" s="7">
        <f>(12.25 * D20) - (2.55 * E20)</f>
        <v>1.7463000000000002</v>
      </c>
      <c r="I20" s="7">
        <f>(20.31*E20)-(4.91*D20)</f>
        <v>0.82379999999999998</v>
      </c>
      <c r="J20" s="2"/>
      <c r="K20" s="5">
        <f t="shared" si="1"/>
        <v>1.7273400000000001</v>
      </c>
      <c r="L20" s="5">
        <f t="shared" si="2"/>
        <v>0.88760000000000017</v>
      </c>
      <c r="M20" s="2">
        <f t="shared" si="3"/>
        <v>-0.39700763030303038</v>
      </c>
      <c r="O20" s="2">
        <f t="shared" si="4"/>
        <v>2.1198106336489442</v>
      </c>
    </row>
    <row r="21">
      <c r="A21">
        <v>12</v>
      </c>
      <c r="B21">
        <v>4.5</v>
      </c>
      <c r="C21">
        <v>5.5</v>
      </c>
      <c r="D21" s="1">
        <v>0.14599999999999999</v>
      </c>
      <c r="E21" s="1">
        <v>7.2999999999999995e-002</v>
      </c>
      <c r="H21" s="7">
        <f t="shared" si="5"/>
        <v>1.6023499999999999</v>
      </c>
      <c r="I21" s="7">
        <f t="shared" si="0"/>
        <v>0.76576999999999995</v>
      </c>
      <c r="J21" s="2"/>
      <c r="K21" s="5">
        <f t="shared" si="1"/>
        <v>1.58483</v>
      </c>
      <c r="L21" s="5">
        <f t="shared" si="2"/>
        <v>0.82489999999999997</v>
      </c>
      <c r="M21" s="2">
        <f t="shared" si="3"/>
        <v>-0.36877468989898993</v>
      </c>
      <c r="O21" s="2">
        <f t="shared" si="4"/>
        <v>2.0924690181124883</v>
      </c>
    </row>
    <row r="22">
      <c r="A22">
        <v>13</v>
      </c>
      <c r="B22">
        <v>4</v>
      </c>
      <c r="C22">
        <v>6</v>
      </c>
      <c r="D22" s="1">
        <v>0.13700000000000001</v>
      </c>
      <c r="E22" s="1">
        <v>7.4999999999999997e-002</v>
      </c>
      <c r="H22" s="7">
        <f t="shared" si="5"/>
        <v>1.4870000000000003</v>
      </c>
      <c r="I22" s="7">
        <f t="shared" si="0"/>
        <v>0.85057999999999967</v>
      </c>
      <c r="J22" s="2"/>
      <c r="K22" s="5">
        <f t="shared" si="1"/>
        <v>1.4690000000000003</v>
      </c>
      <c r="L22" s="5">
        <f t="shared" si="2"/>
        <v>0.91380000000000006</v>
      </c>
      <c r="M22" s="2">
        <f t="shared" si="3"/>
        <v>-0.40588311111111114</v>
      </c>
      <c r="O22" s="2">
        <f t="shared" si="4"/>
        <v>1.7482188624232886</v>
      </c>
    </row>
    <row r="23">
      <c r="A23">
        <v>14</v>
      </c>
      <c r="B23">
        <v>3.5</v>
      </c>
      <c r="C23">
        <v>6.5</v>
      </c>
      <c r="D23" s="1">
        <v>0.106</v>
      </c>
      <c r="E23" s="1">
        <v>5.0999999999999997e-002</v>
      </c>
      <c r="H23" s="7">
        <f t="shared" si="5"/>
        <v>1.16845</v>
      </c>
      <c r="I23" s="7">
        <f t="shared" si="0"/>
        <v>0.51534999999999986</v>
      </c>
      <c r="J23" s="2"/>
      <c r="K23" s="5">
        <f t="shared" si="1"/>
        <v>1.15621</v>
      </c>
      <c r="L23" s="5">
        <f t="shared" si="2"/>
        <v>0.55590000000000006</v>
      </c>
      <c r="M23" s="2">
        <f t="shared" si="3"/>
        <v>-0.24932787979797982</v>
      </c>
      <c r="O23" s="2">
        <f t="shared" si="4"/>
        <v>2.2672940719899102</v>
      </c>
    </row>
    <row r="24">
      <c r="A24">
        <v>15</v>
      </c>
      <c r="B24">
        <v>3</v>
      </c>
      <c r="C24">
        <v>7</v>
      </c>
      <c r="D24" s="1">
        <v>9.5000000000000001e-002</v>
      </c>
      <c r="E24" s="1">
        <v>4.7e-002</v>
      </c>
      <c r="H24" s="7">
        <f t="shared" si="5"/>
        <v>1.0439000000000001</v>
      </c>
      <c r="I24" s="7">
        <f t="shared" si="0"/>
        <v>0.48811999999999989</v>
      </c>
      <c r="J24" s="2"/>
      <c r="K24" s="5">
        <f t="shared" si="1"/>
        <v>1.0326200000000001</v>
      </c>
      <c r="L24" s="5">
        <f t="shared" si="2"/>
        <v>0.52600000000000002</v>
      </c>
      <c r="M24" s="2">
        <f t="shared" si="3"/>
        <v>-0.23535297171717171</v>
      </c>
      <c r="O24" s="2">
        <f t="shared" si="4"/>
        <v>2.1386134557076133</v>
      </c>
    </row>
    <row r="25">
      <c r="A25">
        <v>16</v>
      </c>
      <c r="B25">
        <v>2.5</v>
      </c>
      <c r="C25">
        <v>7.5</v>
      </c>
      <c r="D25" s="1">
        <v>6.5000000000000002e-002</v>
      </c>
      <c r="E25" s="1">
        <v>2.9999999999999999e-002</v>
      </c>
      <c r="H25" s="7">
        <f t="shared" si="5"/>
        <v>0.71975</v>
      </c>
      <c r="I25" s="7">
        <f t="shared" si="0"/>
        <v>0.29014999999999991</v>
      </c>
      <c r="J25" s="2"/>
      <c r="K25" s="5">
        <f t="shared" si="1"/>
        <v>0.71255000000000002</v>
      </c>
      <c r="L25" s="5">
        <f t="shared" si="2"/>
        <v>0.31350000000000006</v>
      </c>
      <c r="M25" s="2">
        <f t="shared" si="3"/>
        <v>-0.14116470202020204</v>
      </c>
      <c r="O25" s="2">
        <f t="shared" si="4"/>
        <v>2.480613475788386</v>
      </c>
    </row>
    <row r="26">
      <c r="N26" s="3" t="s">
        <v>24</v>
      </c>
      <c r="O26" s="2">
        <f>AVERAGE(O10:O25)</f>
        <v>1.9056360451925554</v>
      </c>
    </row>
    <row r="28">
      <c r="A28" t="s">
        <v>28</v>
      </c>
    </row>
    <row r="29">
      <c r="A29" t="s">
        <v>20</v>
      </c>
    </row>
    <row r="30">
      <c r="A30" t="s">
        <v>16</v>
      </c>
      <c r="B30" t="s">
        <v>17</v>
      </c>
      <c r="C30" t="s">
        <v>18</v>
      </c>
      <c r="D30" t="s">
        <v>13</v>
      </c>
      <c r="E30" t="s">
        <v>14</v>
      </c>
      <c r="F30" t="s">
        <v>15</v>
      </c>
      <c r="H30" t="s">
        <v>0</v>
      </c>
      <c r="I30" t="s">
        <v>1</v>
      </c>
      <c r="O30" t="s">
        <v>29</v>
      </c>
      <c r="P30" t="s">
        <v>30</v>
      </c>
    </row>
    <row r="31">
      <c r="A31">
        <v>1</v>
      </c>
      <c r="B31">
        <v>10</v>
      </c>
      <c r="C31">
        <v>0</v>
      </c>
      <c r="D31">
        <v>0</v>
      </c>
      <c r="E31">
        <v>0</v>
      </c>
      <c r="F31">
        <v>0</v>
      </c>
      <c r="H31" s="2">
        <f>(12.25 * D31) - (2.55 * E31)</f>
        <v>0</v>
      </c>
      <c r="I31" s="2">
        <f>(20.31*E31)-(4.91*D31)</f>
        <v>0</v>
      </c>
      <c r="J31" s="2"/>
      <c r="K31" s="2"/>
      <c r="L31" s="2"/>
      <c r="M31" s="2"/>
      <c r="O31" s="2">
        <f>(0.964885*H10)+0.218251</f>
        <v>4.0748481007499997</v>
      </c>
      <c r="P31" s="2">
        <f>(0.813576*I10)+0.357606</f>
        <v>1.9729692837599995</v>
      </c>
    </row>
    <row r="32">
      <c r="A32" s="8">
        <v>2</v>
      </c>
      <c r="B32" s="8">
        <v>9.5</v>
      </c>
      <c r="C32" s="8">
        <v>0.5</v>
      </c>
      <c r="D32" s="8">
        <v>0.33500000000000002</v>
      </c>
      <c r="E32" s="8">
        <v>0.17100000000000001</v>
      </c>
      <c r="F32" s="8"/>
      <c r="G32" s="8"/>
      <c r="H32" s="9">
        <f t="shared" ref="H32:H40" si="6">(12.25 * D32) - (2.55 * E32)</f>
        <v>3.6677000000000008</v>
      </c>
      <c r="I32" s="9">
        <f t="shared" ref="I32:I40" si="7">(20.31*E32)-(4.91*D32)</f>
        <v>1.8281599999999998</v>
      </c>
      <c r="J32" s="9"/>
      <c r="K32" s="9"/>
      <c r="L32" s="9"/>
      <c r="M32" s="9"/>
      <c r="N32" s="8"/>
      <c r="O32" s="9">
        <f t="shared" ref="O32:O46" si="8">(0.964885*H11)+0.218251</f>
        <v>3.7049594360000002</v>
      </c>
      <c r="P32" s="9">
        <f t="shared" ref="P32:P46" si="9">(0.813576*I11)+0.357606</f>
        <v>1.8939791899199996</v>
      </c>
    </row>
    <row r="33">
      <c r="A33">
        <v>3</v>
      </c>
      <c r="B33">
        <v>9</v>
      </c>
      <c r="C33">
        <v>1</v>
      </c>
      <c r="H33" s="2">
        <f t="shared" si="6"/>
        <v>0</v>
      </c>
      <c r="I33" s="2">
        <f t="shared" si="7"/>
        <v>0</v>
      </c>
      <c r="J33" s="2"/>
      <c r="K33" s="2"/>
      <c r="L33" s="2"/>
      <c r="M33" s="2"/>
      <c r="O33" s="2">
        <f t="shared" si="8"/>
        <v>3.5709851537500001</v>
      </c>
      <c r="P33" s="2">
        <f t="shared" si="9"/>
        <v>1.8137199175199998</v>
      </c>
    </row>
    <row r="34">
      <c r="A34">
        <v>4</v>
      </c>
      <c r="B34">
        <v>8.5</v>
      </c>
      <c r="C34">
        <v>1.5</v>
      </c>
      <c r="H34" s="2">
        <f t="shared" si="6"/>
        <v>0</v>
      </c>
      <c r="I34" s="2">
        <f t="shared" si="7"/>
        <v>0</v>
      </c>
      <c r="J34" s="2"/>
      <c r="K34" s="2"/>
      <c r="L34" s="2"/>
      <c r="M34" s="2"/>
      <c r="O34" s="2">
        <f t="shared" si="8"/>
        <v>3.370530295</v>
      </c>
      <c r="P34" s="2">
        <f t="shared" si="9"/>
        <v>1.8030051216</v>
      </c>
    </row>
    <row r="35">
      <c r="A35">
        <v>5</v>
      </c>
      <c r="B35">
        <v>8</v>
      </c>
      <c r="C35">
        <v>2</v>
      </c>
      <c r="H35" s="2">
        <f t="shared" si="6"/>
        <v>0</v>
      </c>
      <c r="I35" s="2">
        <f t="shared" si="7"/>
        <v>0</v>
      </c>
      <c r="J35" s="2"/>
      <c r="K35" s="2"/>
      <c r="L35" s="2"/>
      <c r="M35" s="2"/>
      <c r="O35" s="2">
        <f t="shared" si="8"/>
        <v>3.3178475739999995</v>
      </c>
      <c r="P35" s="2">
        <f t="shared" si="9"/>
        <v>1.930655196</v>
      </c>
    </row>
    <row r="36">
      <c r="A36">
        <v>6</v>
      </c>
      <c r="B36">
        <v>7.5</v>
      </c>
      <c r="C36">
        <v>2.5</v>
      </c>
      <c r="H36" s="2">
        <f t="shared" si="6"/>
        <v>0</v>
      </c>
      <c r="I36" s="2">
        <f t="shared" si="7"/>
        <v>0</v>
      </c>
      <c r="J36" s="2"/>
      <c r="K36" s="2"/>
      <c r="L36" s="2"/>
      <c r="M36" s="2"/>
      <c r="O36" s="2">
        <f t="shared" si="8"/>
        <v>2.9193983132499999</v>
      </c>
      <c r="P36" s="2">
        <f t="shared" si="9"/>
        <v>1.8927018755999998</v>
      </c>
    </row>
    <row r="37">
      <c r="A37">
        <v>7</v>
      </c>
      <c r="B37">
        <v>7</v>
      </c>
      <c r="C37">
        <v>3</v>
      </c>
      <c r="H37" s="2">
        <f t="shared" si="6"/>
        <v>0</v>
      </c>
      <c r="I37" s="2">
        <f t="shared" si="7"/>
        <v>0</v>
      </c>
      <c r="J37" s="2"/>
      <c r="K37" s="2"/>
      <c r="L37" s="2"/>
      <c r="M37" s="2"/>
      <c r="O37" s="2">
        <f t="shared" si="8"/>
        <v>2.8548475067500001</v>
      </c>
      <c r="P37" s="2">
        <f t="shared" si="9"/>
        <v>1.6477504135199998</v>
      </c>
    </row>
    <row r="38">
      <c r="A38">
        <v>8</v>
      </c>
      <c r="B38">
        <v>6.5</v>
      </c>
      <c r="C38">
        <v>3.5</v>
      </c>
      <c r="H38" s="2">
        <f t="shared" si="6"/>
        <v>0</v>
      </c>
      <c r="I38" s="2">
        <f t="shared" si="7"/>
        <v>0</v>
      </c>
      <c r="J38" s="2"/>
      <c r="K38" s="2"/>
      <c r="L38" s="2"/>
      <c r="M38" s="2"/>
      <c r="O38" s="2">
        <f t="shared" si="8"/>
        <v>2.6992115562499994</v>
      </c>
      <c r="P38" s="2">
        <f t="shared" si="9"/>
        <v>1.6375807135199998</v>
      </c>
    </row>
    <row r="39">
      <c r="A39" s="8">
        <v>9</v>
      </c>
      <c r="B39" s="8">
        <v>6</v>
      </c>
      <c r="C39" s="8">
        <v>4</v>
      </c>
      <c r="D39" s="8">
        <v>0.23400000000000001</v>
      </c>
      <c r="E39" s="8">
        <v>0.13500000000000001</v>
      </c>
      <c r="F39" s="8"/>
      <c r="G39" s="8"/>
      <c r="H39" s="9">
        <f t="shared" si="6"/>
        <v>2.5222500000000001</v>
      </c>
      <c r="I39" s="9">
        <f t="shared" si="7"/>
        <v>1.5929099999999998</v>
      </c>
      <c r="J39" s="9"/>
      <c r="K39" s="9"/>
      <c r="L39" s="9"/>
      <c r="M39" s="9"/>
      <c r="N39" s="8"/>
      <c r="O39" s="9">
        <f t="shared" si="8"/>
        <v>2.4524422175000002</v>
      </c>
      <c r="P39" s="9">
        <f t="shared" si="9"/>
        <v>1.4855965809599998</v>
      </c>
    </row>
    <row r="40">
      <c r="A40">
        <v>10</v>
      </c>
      <c r="B40">
        <v>5.5</v>
      </c>
      <c r="C40">
        <v>4.5</v>
      </c>
      <c r="H40" s="2">
        <f t="shared" si="6"/>
        <v>0</v>
      </c>
      <c r="I40" s="2">
        <f t="shared" si="7"/>
        <v>0</v>
      </c>
      <c r="J40" s="2"/>
      <c r="K40" s="2"/>
      <c r="L40" s="2"/>
      <c r="M40" s="2"/>
      <c r="O40" s="2">
        <f t="shared" si="8"/>
        <v>2.1987739510000002</v>
      </c>
      <c r="P40" s="2">
        <f t="shared" si="9"/>
        <v>1.3045596494399998</v>
      </c>
    </row>
    <row r="41">
      <c r="A41">
        <v>11</v>
      </c>
      <c r="B41">
        <v>5</v>
      </c>
      <c r="C41">
        <v>5</v>
      </c>
      <c r="H41" s="2">
        <f>(12.25 * D41) - (2.55 * E41)</f>
        <v>0</v>
      </c>
      <c r="I41" s="2">
        <f>(20.31*E41)-(4.91*D41)</f>
        <v>0</v>
      </c>
      <c r="J41" s="2"/>
      <c r="K41" s="2"/>
      <c r="L41" s="2"/>
      <c r="M41" s="2"/>
      <c r="O41" s="2">
        <f t="shared" si="8"/>
        <v>1.9032296755000002</v>
      </c>
      <c r="P41" s="2">
        <f t="shared" si="9"/>
        <v>1.0278299087999998</v>
      </c>
    </row>
    <row r="42">
      <c r="A42">
        <v>12</v>
      </c>
      <c r="B42">
        <v>4.5</v>
      </c>
      <c r="C42">
        <v>5.5</v>
      </c>
      <c r="H42" s="2">
        <f t="shared" ref="H42:H45" si="10">(12.25 * D42) - (2.55 * E42)</f>
        <v>0</v>
      </c>
      <c r="I42" s="2">
        <f t="shared" ref="I42:I45" si="11">(20.31*E42)-(4.91*D42)</f>
        <v>0</v>
      </c>
      <c r="J42" s="2"/>
      <c r="K42" s="2"/>
      <c r="L42" s="2"/>
      <c r="M42" s="2"/>
      <c r="O42" s="2">
        <f t="shared" si="8"/>
        <v>1.7643344797499998</v>
      </c>
      <c r="P42" s="2">
        <f t="shared" si="9"/>
        <v>0.98061809351999996</v>
      </c>
    </row>
    <row r="43">
      <c r="A43">
        <v>13</v>
      </c>
      <c r="B43">
        <v>4</v>
      </c>
      <c r="C43">
        <v>6</v>
      </c>
      <c r="H43" s="2">
        <f t="shared" si="10"/>
        <v>0</v>
      </c>
      <c r="I43" s="2">
        <f t="shared" si="11"/>
        <v>0</v>
      </c>
      <c r="J43" s="2"/>
      <c r="K43" s="2"/>
      <c r="L43" s="2"/>
      <c r="M43" s="2"/>
      <c r="O43" s="2">
        <f t="shared" si="8"/>
        <v>1.6530349950000003</v>
      </c>
      <c r="P43" s="2">
        <f t="shared" si="9"/>
        <v>1.0496174740799997</v>
      </c>
    </row>
    <row r="44">
      <c r="A44">
        <v>14</v>
      </c>
      <c r="B44">
        <v>3.5</v>
      </c>
      <c r="C44">
        <v>6.5</v>
      </c>
      <c r="H44" s="2">
        <f t="shared" si="10"/>
        <v>0</v>
      </c>
      <c r="I44" s="2">
        <f t="shared" si="11"/>
        <v>0</v>
      </c>
      <c r="J44" s="2"/>
      <c r="K44" s="2"/>
      <c r="L44" s="2"/>
      <c r="M44" s="2"/>
      <c r="O44" s="2">
        <f t="shared" si="8"/>
        <v>1.34567087825</v>
      </c>
      <c r="P44" s="2">
        <f t="shared" si="9"/>
        <v>0.77688239159999983</v>
      </c>
    </row>
    <row r="45">
      <c r="A45" s="8">
        <v>15</v>
      </c>
      <c r="B45" s="8">
        <v>3</v>
      </c>
      <c r="C45" s="8">
        <v>7</v>
      </c>
      <c r="D45" s="8">
        <v>0.11</v>
      </c>
      <c r="E45" s="8">
        <v>6.2e-002</v>
      </c>
      <c r="F45" s="8"/>
      <c r="G45" s="8"/>
      <c r="H45" s="9">
        <f t="shared" si="10"/>
        <v>1.1894</v>
      </c>
      <c r="I45" s="9">
        <f t="shared" si="11"/>
        <v>0.71911999999999998</v>
      </c>
      <c r="J45" s="9"/>
      <c r="K45" s="9"/>
      <c r="L45" s="9"/>
      <c r="M45" s="9"/>
      <c r="N45" s="8"/>
      <c r="O45" s="9">
        <f t="shared" si="8"/>
        <v>1.2254944514999999</v>
      </c>
      <c r="P45" s="9">
        <f t="shared" si="9"/>
        <v>0.75472871711999989</v>
      </c>
    </row>
    <row r="46">
      <c r="A46">
        <v>16</v>
      </c>
      <c r="B46">
        <v>2.5</v>
      </c>
      <c r="C46">
        <v>7.5</v>
      </c>
      <c r="H46" s="2">
        <f>(12.25 * D46) - (2.55 * E46)</f>
        <v>0</v>
      </c>
      <c r="I46" s="2">
        <f>(20.31*E46)-(4.91*D46)</f>
        <v>0</v>
      </c>
      <c r="J46" s="2"/>
      <c r="K46" s="2"/>
      <c r="L46" s="2"/>
      <c r="M46" s="2"/>
      <c r="O46" s="2">
        <f t="shared" si="8"/>
        <v>0.91272697874999997</v>
      </c>
      <c r="P46" s="2">
        <f t="shared" si="9"/>
        <v>0.59366507639999988</v>
      </c>
    </row>
    <row r="49">
      <c r="A49" t="s">
        <v>21</v>
      </c>
    </row>
    <row r="50">
      <c r="A50" t="s">
        <v>16</v>
      </c>
      <c r="B50" t="s">
        <v>17</v>
      </c>
      <c r="C50" t="s">
        <v>18</v>
      </c>
      <c r="D50" t="s">
        <v>13</v>
      </c>
      <c r="E50" t="s">
        <v>14</v>
      </c>
      <c r="F50" t="s">
        <v>15</v>
      </c>
      <c r="H50" t="s">
        <v>0</v>
      </c>
      <c r="I50" t="s">
        <v>1</v>
      </c>
    </row>
    <row r="51">
      <c r="A51">
        <v>1</v>
      </c>
      <c r="B51">
        <v>10</v>
      </c>
      <c r="C51">
        <v>0</v>
      </c>
      <c r="D51">
        <v>0</v>
      </c>
      <c r="E51">
        <v>0</v>
      </c>
      <c r="F51">
        <v>0</v>
      </c>
      <c r="H51" s="2">
        <f>(12.25 * D51) - (2.55 * E51)</f>
        <v>0</v>
      </c>
      <c r="I51" s="2">
        <f>(20.31*E51)-(4.91*D51)</f>
        <v>0</v>
      </c>
      <c r="J51" s="2"/>
      <c r="K51" s="2"/>
      <c r="L51" s="2"/>
      <c r="M51" s="2"/>
      <c r="O51" s="2">
        <f>(0.805325*H10)+1.01708</f>
        <v>4.2359237587499994</v>
      </c>
      <c r="P51" s="2">
        <f>(0.434957*I10)+0.978363</f>
        <v>1.8419744730699998</v>
      </c>
    </row>
    <row r="52">
      <c r="A52" s="8">
        <v>2</v>
      </c>
      <c r="B52" s="8">
        <v>9.5</v>
      </c>
      <c r="C52" s="8">
        <v>0.5</v>
      </c>
      <c r="D52" s="8">
        <v>0.36299999999999999</v>
      </c>
      <c r="E52" s="8">
        <v>0.17799999999999999</v>
      </c>
      <c r="F52" s="8"/>
      <c r="G52" s="8"/>
      <c r="H52" s="9">
        <f t="shared" ref="H52:H60" si="12">(12.25 * D52) - (2.55 * E52)</f>
        <v>3.9928499999999998</v>
      </c>
      <c r="I52" s="9">
        <f t="shared" ref="I52:I60" si="13">(20.31*E52)-(4.91*D52)</f>
        <v>1.8328499999999996</v>
      </c>
      <c r="J52" s="9"/>
      <c r="K52" s="9"/>
      <c r="L52" s="9"/>
      <c r="M52" s="9"/>
      <c r="N52" s="8"/>
      <c r="O52" s="9">
        <f t="shared" ref="O52:O66" si="14">(0.805325*H11)+1.01708</f>
        <v>3.92720242</v>
      </c>
      <c r="P52" s="9">
        <f t="shared" ref="P52:P66" si="15">(0.434957*I11)+0.978363</f>
        <v>1.7997444979399999</v>
      </c>
    </row>
    <row r="53">
      <c r="A53">
        <v>3</v>
      </c>
      <c r="B53">
        <v>9</v>
      </c>
      <c r="C53">
        <v>1</v>
      </c>
      <c r="H53" s="2">
        <f t="shared" si="12"/>
        <v>0</v>
      </c>
      <c r="I53" s="2">
        <f t="shared" si="13"/>
        <v>0</v>
      </c>
      <c r="J53" s="2"/>
      <c r="K53" s="2"/>
      <c r="L53" s="2"/>
      <c r="M53" s="2"/>
      <c r="O53" s="2">
        <f t="shared" si="14"/>
        <v>3.8153830437499998</v>
      </c>
      <c r="P53" s="2">
        <f t="shared" si="15"/>
        <v>1.7568359898899999</v>
      </c>
    </row>
    <row r="54">
      <c r="A54">
        <v>4</v>
      </c>
      <c r="B54">
        <v>8.5</v>
      </c>
      <c r="C54">
        <v>1.5</v>
      </c>
      <c r="H54" s="2">
        <f t="shared" si="12"/>
        <v>0</v>
      </c>
      <c r="I54" s="2">
        <f t="shared" si="13"/>
        <v>0</v>
      </c>
      <c r="J54" s="2"/>
      <c r="K54" s="2"/>
      <c r="L54" s="2"/>
      <c r="M54" s="2"/>
      <c r="O54" s="2">
        <f t="shared" si="14"/>
        <v>3.6480767749999998</v>
      </c>
      <c r="P54" s="2">
        <f t="shared" si="15"/>
        <v>1.7511076061999999</v>
      </c>
    </row>
    <row r="55">
      <c r="A55">
        <v>5</v>
      </c>
      <c r="B55">
        <v>8</v>
      </c>
      <c r="C55">
        <v>2</v>
      </c>
      <c r="H55" s="2">
        <f t="shared" si="12"/>
        <v>0</v>
      </c>
      <c r="I55" s="2">
        <f t="shared" si="13"/>
        <v>0</v>
      </c>
      <c r="J55" s="2"/>
      <c r="K55" s="2"/>
      <c r="L55" s="2"/>
      <c r="M55" s="2"/>
      <c r="O55" s="2">
        <f t="shared" si="14"/>
        <v>3.6041060299999996</v>
      </c>
      <c r="P55" s="2">
        <f t="shared" si="15"/>
        <v>1.8193523595000001</v>
      </c>
    </row>
    <row r="56">
      <c r="A56">
        <v>6</v>
      </c>
      <c r="B56">
        <v>7.5</v>
      </c>
      <c r="C56">
        <v>2.5</v>
      </c>
      <c r="H56" s="2">
        <f t="shared" si="12"/>
        <v>0</v>
      </c>
      <c r="I56" s="2">
        <f t="shared" si="13"/>
        <v>0</v>
      </c>
      <c r="J56" s="2"/>
      <c r="K56" s="2"/>
      <c r="L56" s="2"/>
      <c r="M56" s="2"/>
      <c r="O56" s="2">
        <f t="shared" si="14"/>
        <v>3.2715470712499997</v>
      </c>
      <c r="P56" s="2">
        <f t="shared" si="15"/>
        <v>1.7990616154499999</v>
      </c>
    </row>
    <row r="57">
      <c r="A57">
        <v>7</v>
      </c>
      <c r="B57">
        <v>7</v>
      </c>
      <c r="C57">
        <v>3</v>
      </c>
      <c r="H57" s="2">
        <f t="shared" si="12"/>
        <v>0</v>
      </c>
      <c r="I57" s="2">
        <f t="shared" si="13"/>
        <v>0</v>
      </c>
      <c r="J57" s="2"/>
      <c r="K57" s="2"/>
      <c r="L57" s="2"/>
      <c r="M57" s="2"/>
      <c r="O57" s="2">
        <f t="shared" si="14"/>
        <v>3.2176708287500002</v>
      </c>
      <c r="P57" s="2">
        <f t="shared" si="15"/>
        <v>1.66810476189</v>
      </c>
    </row>
    <row r="58">
      <c r="A58">
        <v>8</v>
      </c>
      <c r="B58">
        <v>6.5</v>
      </c>
      <c r="C58">
        <v>3.5</v>
      </c>
      <c r="H58" s="2">
        <f t="shared" si="12"/>
        <v>0</v>
      </c>
      <c r="I58" s="2">
        <f t="shared" si="13"/>
        <v>0</v>
      </c>
      <c r="J58" s="2"/>
      <c r="K58" s="2"/>
      <c r="L58" s="2"/>
      <c r="M58" s="2"/>
      <c r="O58" s="2">
        <f t="shared" si="14"/>
        <v>3.0877719062499995</v>
      </c>
      <c r="P58" s="2">
        <f t="shared" si="15"/>
        <v>1.6626677993899999</v>
      </c>
    </row>
    <row r="59">
      <c r="A59">
        <v>9</v>
      </c>
      <c r="B59">
        <v>6</v>
      </c>
      <c r="C59">
        <v>4</v>
      </c>
      <c r="H59" s="2">
        <f t="shared" si="12"/>
        <v>0</v>
      </c>
      <c r="I59" s="2">
        <f t="shared" si="13"/>
        <v>0</v>
      </c>
      <c r="J59" s="2"/>
      <c r="K59" s="2"/>
      <c r="L59" s="2"/>
      <c r="M59" s="2"/>
      <c r="O59" s="2">
        <f t="shared" si="14"/>
        <v>2.8818100375000002</v>
      </c>
      <c r="P59" s="2">
        <f t="shared" si="15"/>
        <v>1.5814134822199999</v>
      </c>
    </row>
    <row r="60">
      <c r="A60">
        <v>10</v>
      </c>
      <c r="B60">
        <v>5.5</v>
      </c>
      <c r="C60">
        <v>4.5</v>
      </c>
      <c r="H60" s="2">
        <f t="shared" si="12"/>
        <v>0</v>
      </c>
      <c r="I60" s="2">
        <f t="shared" si="13"/>
        <v>0</v>
      </c>
      <c r="J60" s="2"/>
      <c r="K60" s="2"/>
      <c r="L60" s="2"/>
      <c r="M60" s="2"/>
      <c r="O60" s="2">
        <f t="shared" si="14"/>
        <v>2.6700900949999999</v>
      </c>
      <c r="P60" s="2">
        <f t="shared" si="15"/>
        <v>1.4846268505799998</v>
      </c>
    </row>
    <row r="61">
      <c r="A61" s="8">
        <v>11</v>
      </c>
      <c r="B61" s="8">
        <v>5</v>
      </c>
      <c r="C61" s="8">
        <v>5</v>
      </c>
      <c r="D61" s="8">
        <v>0.19800000000000001</v>
      </c>
      <c r="E61" s="8">
        <v>0.107</v>
      </c>
      <c r="F61" s="8"/>
      <c r="G61" s="8"/>
      <c r="H61" s="9">
        <f>(12.25 * D61) - (2.55 * E61)</f>
        <v>2.15265</v>
      </c>
      <c r="I61" s="9">
        <f>(20.31*E61)-(4.91*D61)</f>
        <v>1.2009899999999998</v>
      </c>
      <c r="J61" s="9"/>
      <c r="K61" s="9"/>
      <c r="L61" s="9"/>
      <c r="M61" s="9"/>
      <c r="N61" s="8"/>
      <c r="O61" s="9">
        <f t="shared" si="14"/>
        <v>2.4234190475000004</v>
      </c>
      <c r="P61" s="9">
        <f t="shared" si="15"/>
        <v>1.3366805766000001</v>
      </c>
    </row>
    <row r="62">
      <c r="A62">
        <v>12</v>
      </c>
      <c r="B62">
        <v>4.5</v>
      </c>
      <c r="C62">
        <v>5.5</v>
      </c>
      <c r="H62" s="2">
        <f t="shared" ref="H62:H66" si="16">(12.25 * D62) - (2.55 * E62)</f>
        <v>0</v>
      </c>
      <c r="I62" s="2">
        <f t="shared" ref="I62:I66" si="17">(20.31*E62)-(4.91*D62)</f>
        <v>0</v>
      </c>
      <c r="J62" s="2"/>
      <c r="K62" s="2"/>
      <c r="L62" s="2"/>
      <c r="M62" s="2"/>
      <c r="O62" s="2">
        <f t="shared" si="14"/>
        <v>2.3074925137499998</v>
      </c>
      <c r="P62" s="2">
        <f t="shared" si="15"/>
        <v>1.31144002189</v>
      </c>
    </row>
    <row r="63">
      <c r="A63">
        <v>13</v>
      </c>
      <c r="B63">
        <v>4</v>
      </c>
      <c r="C63">
        <v>6</v>
      </c>
      <c r="H63" s="2">
        <f t="shared" si="16"/>
        <v>0</v>
      </c>
      <c r="I63" s="2">
        <f t="shared" si="17"/>
        <v>0</v>
      </c>
      <c r="J63" s="2"/>
      <c r="K63" s="2"/>
      <c r="L63" s="2"/>
      <c r="M63" s="2"/>
      <c r="O63" s="2">
        <f t="shared" si="14"/>
        <v>2.2145982750000002</v>
      </c>
      <c r="P63" s="2">
        <f t="shared" si="15"/>
        <v>1.3483287250599998</v>
      </c>
    </row>
    <row r="64">
      <c r="A64" s="8">
        <v>14</v>
      </c>
      <c r="B64" s="8">
        <v>3.5</v>
      </c>
      <c r="C64" s="8">
        <v>6.5</v>
      </c>
      <c r="D64" s="8">
        <v>0.20100000000000001</v>
      </c>
      <c r="E64" s="8">
        <v>0.113</v>
      </c>
      <c r="F64" s="8"/>
      <c r="G64" s="8"/>
      <c r="H64" s="9">
        <f t="shared" si="16"/>
        <v>2.1741000000000001</v>
      </c>
      <c r="I64" s="9">
        <f t="shared" si="17"/>
        <v>1.3081200000000002</v>
      </c>
      <c r="J64" s="9"/>
      <c r="K64" s="9"/>
      <c r="L64" s="9"/>
      <c r="M64" s="9"/>
      <c r="N64" s="8"/>
      <c r="O64" s="9">
        <f t="shared" si="14"/>
        <v>1.9580619962499999</v>
      </c>
      <c r="P64" s="9">
        <f t="shared" si="15"/>
        <v>1.2025180899499999</v>
      </c>
    </row>
    <row r="65">
      <c r="A65">
        <v>15</v>
      </c>
      <c r="B65">
        <v>3</v>
      </c>
      <c r="C65">
        <v>7</v>
      </c>
      <c r="H65" s="2">
        <f t="shared" si="16"/>
        <v>0</v>
      </c>
      <c r="I65" s="2">
        <f t="shared" si="17"/>
        <v>0</v>
      </c>
      <c r="J65" s="2"/>
      <c r="K65" s="2"/>
      <c r="L65" s="2"/>
      <c r="M65" s="2"/>
      <c r="O65" s="2">
        <f t="shared" si="14"/>
        <v>1.8577587675</v>
      </c>
      <c r="P65" s="2">
        <f t="shared" si="15"/>
        <v>1.1906742108399999</v>
      </c>
    </row>
    <row r="66">
      <c r="A66">
        <v>16</v>
      </c>
      <c r="B66">
        <v>2.5</v>
      </c>
      <c r="C66">
        <v>7.5</v>
      </c>
      <c r="H66" s="2">
        <f t="shared" si="16"/>
        <v>0</v>
      </c>
      <c r="I66" s="2">
        <f t="shared" si="17"/>
        <v>0</v>
      </c>
      <c r="J66" s="2"/>
      <c r="K66" s="2"/>
      <c r="L66" s="2"/>
      <c r="M66" s="2"/>
      <c r="O66" s="2">
        <f t="shared" si="14"/>
        <v>1.59671266875</v>
      </c>
      <c r="P66" s="2">
        <f t="shared" si="15"/>
        <v>1.1045657735499999</v>
      </c>
    </row>
  </sheetData>
  <pageMargins left="0.69999999999999996" right="0.69999999999999996" top="0.75" bottom="0.75" header="0.29999999999999999" footer="0.29999999999999999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4" workbookViewId="0">
      <selection activeCell="D8" sqref="D8"/>
    </sheetView>
  </sheetViews>
  <sheetFormatPr defaultRowHeight="14.4"/>
  <cols>
    <col customWidth="1" min="1" max="1" width="12"/>
    <col customWidth="1" min="4" max="4" width="15.88671875"/>
    <col customWidth="1" min="6" max="6" width="16.6640625"/>
  </cols>
  <sheetData>
    <row r="1">
      <c r="A1" s="13">
        <v>46056</v>
      </c>
    </row>
    <row r="2">
      <c r="A2" t="s">
        <v>31</v>
      </c>
    </row>
    <row r="3">
      <c r="A3" t="s">
        <v>32</v>
      </c>
      <c r="K3" s="6" t="s">
        <v>8</v>
      </c>
      <c r="L3" s="6"/>
      <c r="M3" s="6"/>
      <c r="N3" s="6"/>
    </row>
    <row r="4">
      <c r="B4" t="s">
        <v>38</v>
      </c>
      <c r="D4" t="s">
        <v>39</v>
      </c>
      <c r="F4" t="s">
        <v>41</v>
      </c>
      <c r="K4" s="6" t="s">
        <v>10</v>
      </c>
      <c r="L4" s="6"/>
      <c r="M4" s="6"/>
      <c r="N4" s="6"/>
    </row>
    <row r="5">
      <c r="A5" t="s">
        <v>33</v>
      </c>
      <c r="B5" s="1">
        <v>3</v>
      </c>
      <c r="D5">
        <v>0.76200000000000001</v>
      </c>
      <c r="I5" t="s">
        <v>40</v>
      </c>
    </row>
    <row r="6">
      <c r="A6" t="s">
        <v>34</v>
      </c>
      <c r="B6">
        <v>2.2429999999999999</v>
      </c>
      <c r="D6">
        <v>0.52600000000000002</v>
      </c>
    </row>
    <row r="8">
      <c r="A8" t="s">
        <v>35</v>
      </c>
      <c r="B8" s="2">
        <f>(12.25*B5) - (2.55*B6)</f>
        <v>31.030349999999999</v>
      </c>
      <c r="C8" s="2"/>
      <c r="D8" s="2">
        <f>(12.25*D5) - (2.55*D6)</f>
        <v>7.9931999999999999</v>
      </c>
      <c r="F8" s="2">
        <f>D8*10</f>
        <v>79.932000000000002</v>
      </c>
    </row>
    <row r="9">
      <c r="A9" t="s">
        <v>36</v>
      </c>
      <c r="B9" s="2">
        <f>(20.31*B6)-(4.91*B5)</f>
        <v>30.825329999999997</v>
      </c>
      <c r="C9" s="2"/>
      <c r="D9" s="2">
        <f>(20.31*D6)-(4.91*D5)</f>
        <v>6.9416399999999996</v>
      </c>
      <c r="F9" s="2">
        <f>D9*10</f>
        <v>69.416399999999996</v>
      </c>
    </row>
    <row r="10">
      <c r="B10" t="s">
        <v>37</v>
      </c>
    </row>
  </sheetData>
  <pageMargins left="0.69999999999999996" right="0.69999999999999996" top="0.75" bottom="0.75" header="0.29999999999999999" footer="0.2999999999999999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88" workbookViewId="0">
      <selection activeCell="F73" sqref="F73"/>
    </sheetView>
  </sheetViews>
  <sheetFormatPr defaultRowHeight="14.4"/>
  <cols>
    <col customWidth="1" min="1" max="1" style="2" width="12"/>
    <col customWidth="1" min="2" max="3" style="2" width="13.44140625"/>
    <col customWidth="1" min="4" max="4" style="2" width="11.77734375"/>
    <col customWidth="1" min="5" max="5" style="2" width="13.109375"/>
    <col customWidth="1" min="6" max="6" style="2" width="15.21875"/>
    <col min="7" max="9" style="2" width="8.88671875"/>
    <col customWidth="1" min="10" max="10" style="2" width="11.6640625"/>
    <col customWidth="1" min="11" max="11" style="2" width="13.44140625"/>
    <col min="12" max="16384" style="2" width="8.88671875"/>
  </cols>
  <sheetData>
    <row r="1">
      <c r="A1" s="14">
        <v>46063</v>
      </c>
      <c r="B1" s="14"/>
      <c r="C1" s="14"/>
      <c r="D1" s="14"/>
      <c r="E1" s="14"/>
      <c r="F1" s="14">
        <v>46064</v>
      </c>
    </row>
    <row r="2">
      <c r="A2" s="2" t="s">
        <v>48</v>
      </c>
    </row>
    <row r="3">
      <c r="A3" s="2" t="s">
        <v>49</v>
      </c>
      <c r="F3" s="2" t="s">
        <v>155</v>
      </c>
    </row>
    <row r="4">
      <c r="A4" s="2" t="s">
        <v>50</v>
      </c>
      <c r="F4" s="2" t="s">
        <v>156</v>
      </c>
      <c r="J4" s="7" t="s">
        <v>8</v>
      </c>
      <c r="K4" s="7"/>
      <c r="L4" s="7"/>
      <c r="M4" s="7"/>
    </row>
    <row r="5">
      <c r="A5" s="2" t="s">
        <v>51</v>
      </c>
      <c r="F5" s="2" t="s">
        <v>157</v>
      </c>
      <c r="J5" s="7" t="s">
        <v>10</v>
      </c>
      <c r="K5" s="7"/>
      <c r="L5" s="7"/>
      <c r="M5" s="7"/>
    </row>
    <row r="6">
      <c r="A6" s="2" t="s">
        <v>52</v>
      </c>
      <c r="F6" s="2" t="s">
        <v>158</v>
      </c>
    </row>
    <row r="7">
      <c r="A7" s="2" t="s">
        <v>53</v>
      </c>
      <c r="F7" s="2" t="s">
        <v>157</v>
      </c>
    </row>
    <row r="8">
      <c r="A8" s="2" t="s">
        <v>54</v>
      </c>
      <c r="F8" s="2" t="s">
        <v>159</v>
      </c>
    </row>
    <row r="9">
      <c r="A9" s="2" t="s">
        <v>55</v>
      </c>
      <c r="F9" s="2" t="s">
        <v>160</v>
      </c>
      <c r="Q9" s="2" t="s">
        <v>152</v>
      </c>
    </row>
    <row r="10">
      <c r="A10" s="2" t="s">
        <v>56</v>
      </c>
      <c r="J10" s="2" t="s">
        <v>66</v>
      </c>
      <c r="N10" s="2" t="s">
        <v>147</v>
      </c>
      <c r="O10" s="2" t="s">
        <v>148</v>
      </c>
      <c r="P10" s="2" t="s">
        <v>59</v>
      </c>
      <c r="Q10" s="2" t="s">
        <v>153</v>
      </c>
    </row>
    <row r="11">
      <c r="A11" s="2" t="s">
        <v>52</v>
      </c>
      <c r="J11" s="2" t="s">
        <v>67</v>
      </c>
      <c r="N11" s="2" t="s">
        <v>149</v>
      </c>
      <c r="O11" s="2" t="s">
        <v>150</v>
      </c>
      <c r="P11" s="2" t="s">
        <v>151</v>
      </c>
      <c r="Q11" s="2" t="s">
        <v>154</v>
      </c>
    </row>
    <row r="12">
      <c r="A12" s="2" t="s">
        <v>57</v>
      </c>
    </row>
    <row r="13">
      <c r="K13" s="2" t="s">
        <v>188</v>
      </c>
    </row>
    <row r="14">
      <c r="B14" s="2" t="s">
        <v>143</v>
      </c>
      <c r="C14" s="2" t="s">
        <v>144</v>
      </c>
      <c r="F14" s="2" t="s">
        <v>145</v>
      </c>
      <c r="G14" s="2" t="s">
        <v>146</v>
      </c>
      <c r="J14" s="2" t="s">
        <v>193</v>
      </c>
      <c r="K14" s="2" t="s">
        <v>161</v>
      </c>
      <c r="N14" s="2" t="s">
        <v>194</v>
      </c>
      <c r="O14" s="2" t="s">
        <v>189</v>
      </c>
    </row>
    <row r="15">
      <c r="A15" s="2" t="s">
        <v>58</v>
      </c>
      <c r="B15" s="1">
        <v>0.46999999999999997</v>
      </c>
      <c r="C15" s="1">
        <v>1.1890000000000001</v>
      </c>
      <c r="E15" s="2" t="s">
        <v>59</v>
      </c>
      <c r="F15" s="1">
        <f>(12.25*B15) - (2.55*B16)</f>
        <v>5.1913999999999998</v>
      </c>
      <c r="G15" s="1">
        <f>(12.25*C15) - (2.55*C16)</f>
        <v>13.162750000000001</v>
      </c>
      <c r="I15" s="2" t="s">
        <v>58</v>
      </c>
      <c r="J15" s="1">
        <v>0.29199999999999998</v>
      </c>
      <c r="K15" s="1">
        <v>0.51900000000000002</v>
      </c>
      <c r="M15" s="2" t="s">
        <v>59</v>
      </c>
      <c r="N15" s="1">
        <f>(12.25*J15) - (2.55*J16)</f>
        <v>3.0312999999999999</v>
      </c>
      <c r="O15" s="1">
        <f>(12.25*K15) - (2.55*K16)</f>
        <v>5.4244500000000002</v>
      </c>
    </row>
    <row r="16">
      <c r="A16" s="2" t="s">
        <v>34</v>
      </c>
      <c r="B16" s="1">
        <v>0.222</v>
      </c>
      <c r="C16" s="1">
        <v>0.55000000000000004</v>
      </c>
      <c r="E16" s="2" t="s">
        <v>60</v>
      </c>
      <c r="F16" s="1">
        <f>(20.31*B16)-(4.91*B15)</f>
        <v>2.20112</v>
      </c>
      <c r="G16" s="1">
        <f>(20.31*C16)-(4.91*C15)</f>
        <v>5.3325100000000001</v>
      </c>
      <c r="I16" s="2" t="s">
        <v>34</v>
      </c>
      <c r="J16" s="1">
        <v>0.214</v>
      </c>
      <c r="K16" s="1">
        <v>0.36599999999999999</v>
      </c>
      <c r="M16" s="2" t="s">
        <v>60</v>
      </c>
      <c r="N16" s="1">
        <f>(20.31*J16)-(4.91*J15)</f>
        <v>2.9126199999999995</v>
      </c>
      <c r="O16" s="1">
        <f>(20.31*K16)-(4.91*K15)</f>
        <v>4.8851699999999987</v>
      </c>
    </row>
    <row r="19">
      <c r="A19" s="2" t="s">
        <v>60</v>
      </c>
    </row>
    <row r="20">
      <c r="B20" s="2" t="s">
        <v>61</v>
      </c>
      <c r="C20" s="2" t="s">
        <v>62</v>
      </c>
      <c r="D20" s="2" t="s">
        <v>63</v>
      </c>
      <c r="E20" s="2" t="s">
        <v>64</v>
      </c>
      <c r="F20" s="2" t="s">
        <v>65</v>
      </c>
      <c r="G20" s="2" t="s">
        <v>197</v>
      </c>
      <c r="L20" s="2" t="s">
        <v>187</v>
      </c>
      <c r="O20" s="2" t="s">
        <v>192</v>
      </c>
    </row>
    <row r="21">
      <c r="A21" s="2" t="s">
        <v>68</v>
      </c>
      <c r="B21" s="2">
        <v>4.5</v>
      </c>
      <c r="C21" s="2">
        <v>0</v>
      </c>
      <c r="D21" s="2">
        <f>B21+C21</f>
        <v>4.5</v>
      </c>
      <c r="E21" s="1">
        <f>O23</f>
        <v>17.475719999999995</v>
      </c>
      <c r="F21" s="1">
        <f>(E21*B21)/D21</f>
        <v>17.475719999999995</v>
      </c>
      <c r="G21" s="15">
        <v>1600</v>
      </c>
      <c r="L21" s="2" t="s">
        <v>195</v>
      </c>
      <c r="O21" s="2" t="s">
        <v>196</v>
      </c>
    </row>
    <row r="22">
      <c r="A22" s="2" t="s">
        <v>69</v>
      </c>
      <c r="B22" s="2">
        <f>D21</f>
        <v>4.5</v>
      </c>
      <c r="C22" s="2">
        <v>0.5</v>
      </c>
      <c r="D22" s="2">
        <f t="shared" ref="D22:D42" si="0">B22+C22</f>
        <v>5</v>
      </c>
      <c r="E22" s="1">
        <f>F21</f>
        <v>17.475719999999995</v>
      </c>
      <c r="F22" s="1">
        <f t="shared" ref="F22:F42" si="1">(E22*B22)/D22</f>
        <v>15.728147999999996</v>
      </c>
      <c r="G22" s="15">
        <v>1600</v>
      </c>
      <c r="K22" s="2" t="s">
        <v>190</v>
      </c>
      <c r="L22" s="2">
        <f>(O15*4)/0.5</f>
        <v>43.395600000000002</v>
      </c>
      <c r="O22" s="2">
        <f>(N15*3)/0.5</f>
        <v>18.187799999999999</v>
      </c>
    </row>
    <row r="23">
      <c r="A23" s="2" t="s">
        <v>70</v>
      </c>
      <c r="B23" s="2">
        <f t="shared" ref="B23:B32" si="2">D22</f>
        <v>5</v>
      </c>
      <c r="C23" s="2">
        <v>0.5</v>
      </c>
      <c r="D23" s="2">
        <f t="shared" si="0"/>
        <v>5.5</v>
      </c>
      <c r="E23" s="1">
        <f t="shared" ref="E23:E88" si="3">F22</f>
        <v>15.728147999999996</v>
      </c>
      <c r="F23" s="1">
        <f t="shared" si="1"/>
        <v>14.29831636363636</v>
      </c>
      <c r="G23" s="15">
        <v>1600</v>
      </c>
      <c r="K23" s="2" t="s">
        <v>191</v>
      </c>
      <c r="L23" s="2">
        <f>(O16*4)/0.5</f>
        <v>39.081359999999989</v>
      </c>
      <c r="O23" s="2">
        <f>(N16*3)/0.5</f>
        <v>17.475719999999995</v>
      </c>
    </row>
    <row r="24">
      <c r="A24" s="2" t="s">
        <v>71</v>
      </c>
      <c r="B24" s="2">
        <f t="shared" si="2"/>
        <v>5.5</v>
      </c>
      <c r="C24" s="2">
        <v>0.5</v>
      </c>
      <c r="D24" s="2">
        <f t="shared" si="0"/>
        <v>6</v>
      </c>
      <c r="E24" s="1">
        <f t="shared" si="3"/>
        <v>14.29831636363636</v>
      </c>
      <c r="F24" s="1">
        <f t="shared" si="1"/>
        <v>13.106789999999997</v>
      </c>
      <c r="G24" s="15">
        <v>1600</v>
      </c>
    </row>
    <row r="25">
      <c r="A25" s="2" t="s">
        <v>72</v>
      </c>
      <c r="B25" s="2">
        <f t="shared" si="2"/>
        <v>6</v>
      </c>
      <c r="C25" s="2">
        <v>0.5</v>
      </c>
      <c r="D25" s="2">
        <f t="shared" si="0"/>
        <v>6.5</v>
      </c>
      <c r="E25" s="1">
        <f t="shared" si="3"/>
        <v>13.106789999999997</v>
      </c>
      <c r="F25" s="1">
        <f t="shared" si="1"/>
        <v>12.098575384615382</v>
      </c>
      <c r="G25" s="15">
        <v>1600</v>
      </c>
    </row>
    <row r="26">
      <c r="A26" s="2" t="s">
        <v>73</v>
      </c>
      <c r="B26" s="2">
        <f t="shared" si="2"/>
        <v>6.5</v>
      </c>
      <c r="C26" s="2">
        <v>0.5</v>
      </c>
      <c r="D26" s="2">
        <f t="shared" si="0"/>
        <v>7</v>
      </c>
      <c r="E26" s="1">
        <f t="shared" si="3"/>
        <v>12.098575384615382</v>
      </c>
      <c r="F26" s="1">
        <f t="shared" si="1"/>
        <v>11.234391428571426</v>
      </c>
      <c r="G26" s="15">
        <v>1600</v>
      </c>
    </row>
    <row r="27">
      <c r="A27" s="2" t="s">
        <v>74</v>
      </c>
      <c r="B27" s="2">
        <f t="shared" si="2"/>
        <v>7</v>
      </c>
      <c r="C27" s="2">
        <v>0.5</v>
      </c>
      <c r="D27" s="2">
        <f t="shared" si="0"/>
        <v>7.5</v>
      </c>
      <c r="E27" s="1">
        <f t="shared" si="3"/>
        <v>11.234391428571426</v>
      </c>
      <c r="F27" s="1">
        <f t="shared" si="1"/>
        <v>10.485431999999998</v>
      </c>
      <c r="G27" s="2">
        <v>1000</v>
      </c>
    </row>
    <row r="28">
      <c r="A28" s="2" t="s">
        <v>75</v>
      </c>
      <c r="B28" s="2">
        <f t="shared" si="2"/>
        <v>7.5</v>
      </c>
      <c r="C28" s="2">
        <v>0.5</v>
      </c>
      <c r="D28" s="2">
        <f t="shared" si="0"/>
        <v>8</v>
      </c>
      <c r="E28" s="1">
        <f t="shared" si="3"/>
        <v>10.485431999999998</v>
      </c>
      <c r="F28" s="1">
        <f t="shared" si="1"/>
        <v>9.8300924999999975</v>
      </c>
      <c r="G28" s="2">
        <v>1000</v>
      </c>
    </row>
    <row r="29">
      <c r="A29" s="2" t="s">
        <v>76</v>
      </c>
      <c r="B29" s="2">
        <f t="shared" si="2"/>
        <v>8</v>
      </c>
      <c r="C29" s="2">
        <v>0.5</v>
      </c>
      <c r="D29" s="2">
        <f t="shared" si="0"/>
        <v>8.5</v>
      </c>
      <c r="E29" s="1">
        <f t="shared" si="3"/>
        <v>9.8300924999999975</v>
      </c>
      <c r="F29" s="1">
        <f>(E29*B29)/D29</f>
        <v>9.2518517647058793</v>
      </c>
      <c r="G29" s="2">
        <v>1000</v>
      </c>
    </row>
    <row r="30">
      <c r="A30" s="2" t="s">
        <v>77</v>
      </c>
      <c r="B30" s="2">
        <f>D29</f>
        <v>8.5</v>
      </c>
      <c r="C30" s="2">
        <v>0.5</v>
      </c>
      <c r="D30" s="2">
        <f t="shared" si="0"/>
        <v>9</v>
      </c>
      <c r="E30" s="1">
        <f t="shared" si="3"/>
        <v>9.2518517647058793</v>
      </c>
      <c r="F30" s="1">
        <f t="shared" si="1"/>
        <v>8.7378599999999977</v>
      </c>
      <c r="G30" s="2">
        <v>1000</v>
      </c>
    </row>
    <row r="31">
      <c r="A31" s="2" t="s">
        <v>78</v>
      </c>
      <c r="B31" s="2">
        <f t="shared" si="2"/>
        <v>9</v>
      </c>
      <c r="C31" s="2">
        <v>0.5</v>
      </c>
      <c r="D31" s="2">
        <f t="shared" si="0"/>
        <v>9.5</v>
      </c>
      <c r="E31" s="1">
        <f t="shared" si="3"/>
        <v>8.7378599999999977</v>
      </c>
      <c r="F31" s="1">
        <f t="shared" si="1"/>
        <v>8.2779726315789457</v>
      </c>
      <c r="G31" s="2">
        <v>1000</v>
      </c>
    </row>
    <row r="32">
      <c r="A32" s="2" t="s">
        <v>79</v>
      </c>
      <c r="B32" s="2">
        <f t="shared" si="2"/>
        <v>9.5</v>
      </c>
      <c r="C32" s="2">
        <v>0.5</v>
      </c>
      <c r="D32" s="2">
        <f t="shared" si="0"/>
        <v>10</v>
      </c>
      <c r="E32" s="1">
        <f t="shared" si="3"/>
        <v>8.2779726315789457</v>
      </c>
      <c r="F32" s="1">
        <f t="shared" si="1"/>
        <v>7.8640739999999978</v>
      </c>
      <c r="G32" s="2">
        <v>1000</v>
      </c>
    </row>
    <row r="33">
      <c r="A33" s="2" t="s">
        <v>80</v>
      </c>
      <c r="B33" s="2">
        <v>9.5</v>
      </c>
      <c r="C33" s="2">
        <v>0.5</v>
      </c>
      <c r="D33" s="2">
        <f t="shared" si="0"/>
        <v>10</v>
      </c>
      <c r="E33" s="1">
        <f t="shared" si="3"/>
        <v>7.8640739999999978</v>
      </c>
      <c r="F33" s="1">
        <f t="shared" si="1"/>
        <v>7.4708702999999987</v>
      </c>
      <c r="G33" s="2">
        <v>1000</v>
      </c>
    </row>
    <row r="34">
      <c r="A34" s="2" t="s">
        <v>81</v>
      </c>
      <c r="B34" s="2">
        <v>9.5</v>
      </c>
      <c r="C34" s="2">
        <v>0.5</v>
      </c>
      <c r="D34" s="2">
        <f t="shared" si="0"/>
        <v>10</v>
      </c>
      <c r="E34" s="1">
        <f t="shared" si="3"/>
        <v>7.4708702999999987</v>
      </c>
      <c r="F34" s="1">
        <f t="shared" si="1"/>
        <v>7.0973267849999981</v>
      </c>
      <c r="G34" s="2">
        <v>1000</v>
      </c>
    </row>
    <row r="35">
      <c r="A35" s="2" t="s">
        <v>82</v>
      </c>
      <c r="B35" s="2">
        <v>9.5</v>
      </c>
      <c r="C35" s="2">
        <v>0.5</v>
      </c>
      <c r="D35" s="2">
        <f t="shared" si="0"/>
        <v>10</v>
      </c>
      <c r="E35" s="1">
        <f t="shared" si="3"/>
        <v>7.0973267849999981</v>
      </c>
      <c r="F35" s="1">
        <f t="shared" si="1"/>
        <v>6.7424604457499981</v>
      </c>
    </row>
    <row r="36">
      <c r="A36" s="2" t="s">
        <v>83</v>
      </c>
      <c r="B36" s="2">
        <v>9.5</v>
      </c>
      <c r="C36" s="2">
        <v>0.5</v>
      </c>
      <c r="D36" s="2">
        <f t="shared" si="0"/>
        <v>10</v>
      </c>
      <c r="E36" s="1">
        <f t="shared" si="3"/>
        <v>6.7424604457499981</v>
      </c>
      <c r="F36" s="1">
        <f t="shared" si="1"/>
        <v>6.4053374234624982</v>
      </c>
    </row>
    <row r="37">
      <c r="A37" s="2" t="s">
        <v>84</v>
      </c>
      <c r="B37" s="2">
        <v>9.5</v>
      </c>
      <c r="C37" s="2">
        <v>0.5</v>
      </c>
      <c r="D37" s="2">
        <f t="shared" si="0"/>
        <v>10</v>
      </c>
      <c r="E37" s="1">
        <f t="shared" si="3"/>
        <v>6.4053374234624982</v>
      </c>
      <c r="F37" s="1">
        <f t="shared" si="1"/>
        <v>6.0850705522893733</v>
      </c>
    </row>
    <row r="38">
      <c r="A38" s="2" t="s">
        <v>85</v>
      </c>
      <c r="B38" s="2">
        <v>9.5</v>
      </c>
      <c r="C38" s="2">
        <v>0.5</v>
      </c>
      <c r="D38" s="2">
        <f t="shared" si="0"/>
        <v>10</v>
      </c>
      <c r="E38" s="1">
        <f t="shared" si="3"/>
        <v>6.0850705522893733</v>
      </c>
      <c r="F38" s="1">
        <f t="shared" si="1"/>
        <v>5.7808170246749047</v>
      </c>
    </row>
    <row r="39">
      <c r="A39" s="2" t="s">
        <v>86</v>
      </c>
      <c r="B39" s="2">
        <v>9.5</v>
      </c>
      <c r="C39" s="2">
        <v>0.5</v>
      </c>
      <c r="D39" s="2">
        <f t="shared" si="0"/>
        <v>10</v>
      </c>
      <c r="E39" s="1">
        <f t="shared" si="3"/>
        <v>5.7808170246749047</v>
      </c>
      <c r="F39" s="1">
        <f t="shared" si="1"/>
        <v>5.491776173441159</v>
      </c>
    </row>
    <row r="40">
      <c r="A40" s="2" t="s">
        <v>87</v>
      </c>
      <c r="B40" s="2">
        <v>9.5</v>
      </c>
      <c r="C40" s="2">
        <v>0.5</v>
      </c>
      <c r="D40" s="2">
        <f t="shared" si="0"/>
        <v>10</v>
      </c>
      <c r="E40" s="1">
        <f t="shared" si="3"/>
        <v>5.491776173441159</v>
      </c>
      <c r="F40" s="1">
        <f t="shared" si="1"/>
        <v>5.2171873647691012</v>
      </c>
    </row>
    <row r="41">
      <c r="A41" s="2" t="s">
        <v>88</v>
      </c>
      <c r="B41" s="2">
        <v>9.5</v>
      </c>
      <c r="C41" s="2">
        <v>0.5</v>
      </c>
      <c r="D41" s="2">
        <f t="shared" si="0"/>
        <v>10</v>
      </c>
      <c r="E41" s="1">
        <f t="shared" si="3"/>
        <v>5.2171873647691012</v>
      </c>
      <c r="F41" s="1">
        <f t="shared" si="1"/>
        <v>4.9563279965306464</v>
      </c>
    </row>
    <row r="42">
      <c r="A42" s="2" t="s">
        <v>89</v>
      </c>
      <c r="B42" s="2">
        <v>9.5</v>
      </c>
      <c r="C42" s="2">
        <v>0.5</v>
      </c>
      <c r="D42" s="2">
        <f t="shared" si="0"/>
        <v>10</v>
      </c>
      <c r="E42" s="1">
        <f t="shared" si="3"/>
        <v>4.9563279965306464</v>
      </c>
      <c r="F42" s="1">
        <f t="shared" si="1"/>
        <v>4.7085115967041142</v>
      </c>
    </row>
    <row r="43">
      <c r="A43" s="2" t="s">
        <v>90</v>
      </c>
      <c r="B43" s="2">
        <v>9.5</v>
      </c>
      <c r="C43" s="2">
        <v>0.5</v>
      </c>
      <c r="D43" s="2">
        <f t="shared" ref="D43:D57" si="4">B43+C43</f>
        <v>10</v>
      </c>
      <c r="E43" s="1">
        <f>F42</f>
        <v>4.7085115967041142</v>
      </c>
      <c r="F43" s="1">
        <f t="shared" ref="F43:F49" si="5">(E43*B43)/D43</f>
        <v>4.4730860168689084</v>
      </c>
    </row>
    <row r="44">
      <c r="A44" s="2" t="s">
        <v>91</v>
      </c>
      <c r="B44" s="2">
        <v>9.5</v>
      </c>
      <c r="C44" s="2">
        <v>0.5</v>
      </c>
      <c r="D44" s="2">
        <f t="shared" si="4"/>
        <v>10</v>
      </c>
      <c r="E44" s="1">
        <f t="shared" si="3"/>
        <v>4.4730860168689084</v>
      </c>
      <c r="F44" s="1">
        <f t="shared" si="5"/>
        <v>4.2494317160254633</v>
      </c>
    </row>
    <row r="45">
      <c r="A45" s="2" t="s">
        <v>92</v>
      </c>
      <c r="B45" s="2">
        <v>9.5</v>
      </c>
      <c r="C45" s="2">
        <v>0.5</v>
      </c>
      <c r="D45" s="2">
        <f t="shared" si="4"/>
        <v>10</v>
      </c>
      <c r="E45" s="1">
        <f t="shared" si="3"/>
        <v>4.2494317160254633</v>
      </c>
      <c r="F45" s="1">
        <f t="shared" si="5"/>
        <v>4.0369601302241902</v>
      </c>
    </row>
    <row r="46">
      <c r="A46" s="2" t="s">
        <v>93</v>
      </c>
      <c r="B46" s="2">
        <v>9.5</v>
      </c>
      <c r="C46" s="2">
        <v>0.5</v>
      </c>
      <c r="D46" s="2">
        <f t="shared" si="4"/>
        <v>10</v>
      </c>
      <c r="E46" s="1">
        <f t="shared" si="3"/>
        <v>4.0369601302241902</v>
      </c>
      <c r="F46" s="1">
        <f t="shared" si="5"/>
        <v>3.8351121237129808</v>
      </c>
    </row>
    <row r="47">
      <c r="A47" s="2" t="s">
        <v>94</v>
      </c>
      <c r="B47" s="2">
        <v>9.5</v>
      </c>
      <c r="C47" s="2">
        <v>0.5</v>
      </c>
      <c r="D47" s="2">
        <f t="shared" si="4"/>
        <v>10</v>
      </c>
      <c r="E47" s="1">
        <f t="shared" si="3"/>
        <v>3.8351121237129808</v>
      </c>
      <c r="F47" s="1">
        <f t="shared" si="5"/>
        <v>3.6433565175273315</v>
      </c>
      <c r="G47" s="2">
        <v>1200</v>
      </c>
    </row>
    <row r="48">
      <c r="A48" s="2" t="s">
        <v>95</v>
      </c>
      <c r="B48" s="2">
        <v>9.5</v>
      </c>
      <c r="C48" s="2">
        <v>0.5</v>
      </c>
      <c r="D48" s="2">
        <f t="shared" si="4"/>
        <v>10</v>
      </c>
      <c r="E48" s="1">
        <f t="shared" si="3"/>
        <v>3.6433565175273315</v>
      </c>
      <c r="F48" s="1">
        <f t="shared" si="5"/>
        <v>3.4611886916509649</v>
      </c>
    </row>
    <row r="49">
      <c r="A49" s="2" t="s">
        <v>96</v>
      </c>
      <c r="B49" s="2">
        <v>9.5</v>
      </c>
      <c r="C49" s="2">
        <v>0.5</v>
      </c>
      <c r="D49" s="2">
        <f t="shared" si="4"/>
        <v>10</v>
      </c>
      <c r="E49" s="1">
        <f t="shared" si="3"/>
        <v>3.4611886916509649</v>
      </c>
      <c r="F49" s="1">
        <f t="shared" si="5"/>
        <v>3.2881292570684169</v>
      </c>
    </row>
    <row r="50">
      <c r="A50" s="2" t="s">
        <v>97</v>
      </c>
      <c r="B50" s="2">
        <v>9.5</v>
      </c>
      <c r="C50" s="2">
        <v>0.5</v>
      </c>
      <c r="D50" s="2">
        <f t="shared" si="4"/>
        <v>10</v>
      </c>
      <c r="E50" s="1">
        <f t="shared" si="3"/>
        <v>3.2881292570684169</v>
      </c>
      <c r="F50" s="1">
        <f>(E50*B50)/D50</f>
        <v>3.1237227942149959</v>
      </c>
    </row>
    <row r="51">
      <c r="A51" s="2" t="s">
        <v>98</v>
      </c>
      <c r="B51" s="2">
        <v>9.5</v>
      </c>
      <c r="C51" s="2">
        <v>0.5</v>
      </c>
      <c r="D51" s="2">
        <f t="shared" si="4"/>
        <v>10</v>
      </c>
      <c r="E51" s="1">
        <f t="shared" si="3"/>
        <v>3.1237227942149959</v>
      </c>
      <c r="F51" s="1">
        <f t="shared" ref="F51:F57" si="6">(E51*B51)/D51</f>
        <v>2.9675366545042463</v>
      </c>
    </row>
    <row r="52">
      <c r="A52" s="2" t="s">
        <v>99</v>
      </c>
      <c r="B52" s="2">
        <v>9.5</v>
      </c>
      <c r="C52" s="2">
        <v>0.5</v>
      </c>
      <c r="D52" s="2">
        <f t="shared" si="4"/>
        <v>10</v>
      </c>
      <c r="E52" s="1">
        <f t="shared" si="3"/>
        <v>2.9675366545042463</v>
      </c>
      <c r="F52" s="1">
        <f t="shared" si="6"/>
        <v>2.8191598217790341</v>
      </c>
      <c r="G52" s="2">
        <v>1500</v>
      </c>
    </row>
    <row r="53">
      <c r="A53" s="2" t="s">
        <v>100</v>
      </c>
      <c r="B53" s="2">
        <v>9.5</v>
      </c>
      <c r="C53" s="2">
        <v>0.5</v>
      </c>
      <c r="D53" s="2">
        <f t="shared" si="4"/>
        <v>10</v>
      </c>
      <c r="E53" s="1">
        <f t="shared" si="3"/>
        <v>2.8191598217790341</v>
      </c>
      <c r="F53" s="1">
        <f t="shared" si="6"/>
        <v>2.6782018306900826</v>
      </c>
      <c r="G53" s="2">
        <v>3000</v>
      </c>
    </row>
    <row r="54">
      <c r="A54" s="2" t="s">
        <v>101</v>
      </c>
      <c r="B54" s="2">
        <v>9.5</v>
      </c>
      <c r="C54" s="2">
        <v>0.5</v>
      </c>
      <c r="D54" s="2">
        <f t="shared" si="4"/>
        <v>10</v>
      </c>
      <c r="E54" s="1">
        <f t="shared" si="3"/>
        <v>2.6782018306900826</v>
      </c>
      <c r="F54" s="1">
        <f t="shared" si="6"/>
        <v>2.5442917391555784</v>
      </c>
    </row>
    <row r="55">
      <c r="A55" s="2" t="s">
        <v>102</v>
      </c>
      <c r="B55" s="2">
        <v>9.5</v>
      </c>
      <c r="C55" s="2">
        <v>0.5</v>
      </c>
      <c r="D55" s="2">
        <f t="shared" si="4"/>
        <v>10</v>
      </c>
      <c r="E55" s="1">
        <f t="shared" si="3"/>
        <v>2.5442917391555784</v>
      </c>
      <c r="F55" s="1">
        <f t="shared" si="6"/>
        <v>2.4170771521977992</v>
      </c>
    </row>
    <row r="56">
      <c r="A56" s="2" t="s">
        <v>103</v>
      </c>
      <c r="B56" s="2">
        <v>9.5</v>
      </c>
      <c r="C56" s="2">
        <v>0.5</v>
      </c>
      <c r="D56" s="2">
        <f t="shared" si="4"/>
        <v>10</v>
      </c>
      <c r="E56" s="1">
        <f t="shared" si="3"/>
        <v>2.4170771521977992</v>
      </c>
      <c r="F56" s="1">
        <f t="shared" si="6"/>
        <v>2.2962232945879091</v>
      </c>
    </row>
    <row r="57">
      <c r="A57" s="2" t="s">
        <v>104</v>
      </c>
      <c r="B57" s="2">
        <v>9.5</v>
      </c>
      <c r="C57" s="2">
        <v>0.5</v>
      </c>
      <c r="D57" s="2">
        <f t="shared" si="4"/>
        <v>10</v>
      </c>
      <c r="E57" s="1">
        <f t="shared" si="3"/>
        <v>2.2962232945879091</v>
      </c>
      <c r="F57" s="1">
        <f t="shared" si="6"/>
        <v>2.1814121298585136</v>
      </c>
    </row>
    <row r="58">
      <c r="A58" s="2" t="s">
        <v>105</v>
      </c>
      <c r="B58" s="2">
        <v>9.5</v>
      </c>
      <c r="C58" s="2">
        <v>0.5</v>
      </c>
      <c r="D58" s="2">
        <f t="shared" ref="D58:D66" si="7">B58+C58</f>
        <v>10</v>
      </c>
      <c r="E58" s="1">
        <f t="shared" si="3"/>
        <v>2.1814121298585136</v>
      </c>
      <c r="F58" s="1">
        <f t="shared" ref="F58:F66" si="8">(E58*B58)/D58</f>
        <v>2.072341523365588</v>
      </c>
    </row>
    <row r="59">
      <c r="A59" s="2" t="s">
        <v>106</v>
      </c>
      <c r="B59" s="2">
        <v>9.5</v>
      </c>
      <c r="C59" s="2">
        <v>0.5</v>
      </c>
      <c r="D59" s="2">
        <f t="shared" si="7"/>
        <v>10</v>
      </c>
      <c r="E59" s="1">
        <f t="shared" si="3"/>
        <v>2.072341523365588</v>
      </c>
      <c r="F59" s="1">
        <f t="shared" si="8"/>
        <v>1.9687244471973084</v>
      </c>
    </row>
    <row r="60">
      <c r="A60" s="2" t="s">
        <v>107</v>
      </c>
      <c r="B60" s="2">
        <v>9.5</v>
      </c>
      <c r="C60" s="2">
        <v>0.5</v>
      </c>
      <c r="D60" s="2">
        <f t="shared" si="7"/>
        <v>10</v>
      </c>
      <c r="E60" s="1">
        <f t="shared" si="3"/>
        <v>1.9687244471973084</v>
      </c>
      <c r="F60" s="1">
        <f t="shared" si="8"/>
        <v>1.8702882248374428</v>
      </c>
    </row>
    <row r="61">
      <c r="A61" s="2" t="s">
        <v>108</v>
      </c>
      <c r="B61" s="2">
        <v>9.5</v>
      </c>
      <c r="C61" s="2">
        <v>0.5</v>
      </c>
      <c r="D61" s="2">
        <f t="shared" si="7"/>
        <v>10</v>
      </c>
      <c r="E61" s="1">
        <f t="shared" si="3"/>
        <v>1.8702882248374428</v>
      </c>
      <c r="F61" s="1">
        <f t="shared" si="8"/>
        <v>1.7767738135955706</v>
      </c>
    </row>
    <row r="62">
      <c r="A62" s="2" t="s">
        <v>109</v>
      </c>
      <c r="B62" s="2">
        <v>9.5</v>
      </c>
      <c r="C62" s="2">
        <v>0.5</v>
      </c>
      <c r="D62" s="2">
        <f t="shared" si="7"/>
        <v>10</v>
      </c>
      <c r="E62" s="1">
        <f t="shared" si="3"/>
        <v>1.7767738135955706</v>
      </c>
      <c r="F62" s="1">
        <f t="shared" si="8"/>
        <v>1.6879351229157922</v>
      </c>
    </row>
    <row r="63">
      <c r="A63" s="2" t="s">
        <v>110</v>
      </c>
      <c r="B63" s="2">
        <v>9.5</v>
      </c>
      <c r="C63" s="2">
        <v>0.5</v>
      </c>
      <c r="D63" s="2">
        <f t="shared" si="7"/>
        <v>10</v>
      </c>
      <c r="E63" s="1">
        <f t="shared" si="3"/>
        <v>1.6879351229157922</v>
      </c>
      <c r="F63" s="1">
        <f t="shared" si="8"/>
        <v>1.6035383667700025</v>
      </c>
    </row>
    <row r="64">
      <c r="A64" s="2" t="s">
        <v>111</v>
      </c>
      <c r="B64" s="2">
        <v>9.5</v>
      </c>
      <c r="C64" s="2">
        <v>0.5</v>
      </c>
      <c r="D64" s="2">
        <f t="shared" si="7"/>
        <v>10</v>
      </c>
      <c r="E64" s="1">
        <f t="shared" si="3"/>
        <v>1.6035383667700025</v>
      </c>
      <c r="F64" s="1">
        <f t="shared" si="8"/>
        <v>1.5233614484315023</v>
      </c>
    </row>
    <row r="65">
      <c r="A65" s="2" t="s">
        <v>112</v>
      </c>
      <c r="B65" s="2">
        <v>9.5</v>
      </c>
      <c r="C65" s="2">
        <v>0.5</v>
      </c>
      <c r="D65" s="2">
        <f t="shared" si="7"/>
        <v>10</v>
      </c>
      <c r="E65" s="1">
        <f t="shared" si="3"/>
        <v>1.5233614484315023</v>
      </c>
      <c r="F65" s="1">
        <f t="shared" si="8"/>
        <v>1.4471933760099271</v>
      </c>
    </row>
    <row r="66">
      <c r="A66" s="2" t="s">
        <v>113</v>
      </c>
      <c r="B66" s="2">
        <v>9.5</v>
      </c>
      <c r="C66" s="2">
        <v>0.5</v>
      </c>
      <c r="D66" s="2">
        <f t="shared" si="7"/>
        <v>10</v>
      </c>
      <c r="E66" s="1">
        <f t="shared" si="3"/>
        <v>1.4471933760099271</v>
      </c>
      <c r="F66" s="1">
        <f t="shared" si="8"/>
        <v>1.3748337072094308</v>
      </c>
      <c r="G66" s="2">
        <v>5000</v>
      </c>
    </row>
    <row r="67">
      <c r="A67" s="2" t="s">
        <v>114</v>
      </c>
      <c r="B67" s="2">
        <v>9.5</v>
      </c>
      <c r="C67" s="2">
        <v>0.5</v>
      </c>
      <c r="D67" s="2">
        <f t="shared" ref="D67:D95" si="9">B67+C67</f>
        <v>10</v>
      </c>
      <c r="E67" s="1">
        <f t="shared" si="3"/>
        <v>1.3748337072094308</v>
      </c>
      <c r="F67" s="1">
        <f t="shared" ref="F67:F95" si="10">(E67*B67)/D67</f>
        <v>1.3060920218489591</v>
      </c>
    </row>
    <row r="68">
      <c r="A68" s="2" t="s">
        <v>115</v>
      </c>
      <c r="B68" s="2">
        <v>9.5</v>
      </c>
      <c r="C68" s="2">
        <v>0.5</v>
      </c>
      <c r="D68" s="2">
        <f t="shared" si="9"/>
        <v>10</v>
      </c>
      <c r="E68" s="1">
        <f t="shared" si="3"/>
        <v>1.3060920218489591</v>
      </c>
      <c r="F68" s="1">
        <f t="shared" si="10"/>
        <v>1.2407874207565111</v>
      </c>
    </row>
    <row r="69">
      <c r="A69" s="2" t="s">
        <v>116</v>
      </c>
      <c r="B69" s="2">
        <v>9.5</v>
      </c>
      <c r="C69" s="2">
        <v>0.5</v>
      </c>
      <c r="D69" s="2">
        <f t="shared" si="9"/>
        <v>10</v>
      </c>
      <c r="E69" s="1">
        <f t="shared" si="3"/>
        <v>1.2407874207565111</v>
      </c>
      <c r="F69" s="1">
        <f t="shared" si="10"/>
        <v>1.1787480497186855</v>
      </c>
    </row>
    <row r="70">
      <c r="A70" s="2" t="s">
        <v>117</v>
      </c>
      <c r="B70" s="2">
        <v>9.5</v>
      </c>
      <c r="C70" s="2">
        <v>0.5</v>
      </c>
      <c r="D70" s="2">
        <f t="shared" si="9"/>
        <v>10</v>
      </c>
      <c r="E70" s="1">
        <f t="shared" si="3"/>
        <v>1.1787480497186855</v>
      </c>
      <c r="F70" s="1">
        <f t="shared" si="10"/>
        <v>1.1198106472327514</v>
      </c>
    </row>
    <row r="71">
      <c r="A71" s="2" t="s">
        <v>118</v>
      </c>
      <c r="B71" s="2">
        <v>9.5</v>
      </c>
      <c r="C71" s="2">
        <v>0.5</v>
      </c>
      <c r="D71" s="2">
        <f t="shared" si="9"/>
        <v>10</v>
      </c>
      <c r="E71" s="1">
        <f t="shared" si="3"/>
        <v>1.1198106472327514</v>
      </c>
      <c r="F71" s="1">
        <f t="shared" si="10"/>
        <v>1.0638201148711137</v>
      </c>
    </row>
    <row r="72">
      <c r="A72" s="2" t="s">
        <v>119</v>
      </c>
      <c r="B72" s="2">
        <v>9.5</v>
      </c>
      <c r="C72" s="2">
        <v>0.5</v>
      </c>
      <c r="D72" s="2">
        <f t="shared" si="9"/>
        <v>10</v>
      </c>
      <c r="E72" s="1">
        <f t="shared" si="3"/>
        <v>1.0638201148711137</v>
      </c>
      <c r="F72" s="1">
        <f t="shared" si="10"/>
        <v>1.0106291091275579</v>
      </c>
    </row>
    <row r="73">
      <c r="A73" s="2" t="s">
        <v>120</v>
      </c>
      <c r="B73" s="2">
        <v>9.5</v>
      </c>
      <c r="C73" s="2">
        <v>0.5</v>
      </c>
      <c r="D73" s="2">
        <f t="shared" si="9"/>
        <v>10</v>
      </c>
      <c r="E73" s="1">
        <f t="shared" si="3"/>
        <v>1.0106291091275579</v>
      </c>
      <c r="F73" s="1">
        <f t="shared" si="10"/>
        <v>0.96009765367117994</v>
      </c>
    </row>
    <row r="74">
      <c r="A74" s="2" t="s">
        <v>121</v>
      </c>
      <c r="B74" s="2">
        <v>9.5</v>
      </c>
      <c r="C74" s="2">
        <v>0.5</v>
      </c>
      <c r="D74" s="2">
        <f t="shared" si="9"/>
        <v>10</v>
      </c>
      <c r="E74" s="1">
        <f t="shared" si="3"/>
        <v>0.96009765367117994</v>
      </c>
      <c r="F74" s="1">
        <f t="shared" si="10"/>
        <v>0.91209277098762098</v>
      </c>
    </row>
    <row r="75">
      <c r="A75" s="2" t="s">
        <v>122</v>
      </c>
      <c r="B75" s="2">
        <v>9.5</v>
      </c>
      <c r="C75" s="2">
        <v>0.5</v>
      </c>
      <c r="D75" s="2">
        <f t="shared" si="9"/>
        <v>10</v>
      </c>
      <c r="E75" s="1">
        <f t="shared" si="3"/>
        <v>0.91209277098762098</v>
      </c>
      <c r="F75" s="1">
        <f t="shared" si="10"/>
        <v>0.86648813243823997</v>
      </c>
    </row>
    <row r="76">
      <c r="A76" s="2" t="s">
        <v>123</v>
      </c>
      <c r="B76" s="2">
        <v>9.5</v>
      </c>
      <c r="C76" s="2">
        <v>0.5</v>
      </c>
      <c r="D76" s="2">
        <f t="shared" si="9"/>
        <v>10</v>
      </c>
      <c r="E76" s="1">
        <f t="shared" si="3"/>
        <v>0.86648813243823997</v>
      </c>
      <c r="F76" s="1">
        <f t="shared" si="10"/>
        <v>0.82316372581632802</v>
      </c>
    </row>
    <row r="77">
      <c r="A77" s="2" t="s">
        <v>124</v>
      </c>
      <c r="B77" s="2">
        <v>9.5</v>
      </c>
      <c r="C77" s="2">
        <v>0.5</v>
      </c>
      <c r="D77" s="2">
        <f t="shared" si="9"/>
        <v>10</v>
      </c>
      <c r="E77" s="1">
        <f t="shared" si="3"/>
        <v>0.82316372581632802</v>
      </c>
      <c r="F77" s="1">
        <f t="shared" si="10"/>
        <v>0.78200553952551155</v>
      </c>
    </row>
    <row r="78">
      <c r="A78" s="2" t="s">
        <v>125</v>
      </c>
      <c r="B78" s="2">
        <v>9.5</v>
      </c>
      <c r="C78" s="2">
        <v>0.5</v>
      </c>
      <c r="D78" s="2">
        <f t="shared" si="9"/>
        <v>10</v>
      </c>
      <c r="E78" s="1">
        <f t="shared" si="3"/>
        <v>0.78200553952551155</v>
      </c>
      <c r="F78" s="1">
        <f t="shared" si="10"/>
        <v>0.74290526254923595</v>
      </c>
    </row>
    <row r="79">
      <c r="A79" s="2" t="s">
        <v>126</v>
      </c>
      <c r="B79" s="2">
        <v>9.5</v>
      </c>
      <c r="C79" s="2">
        <v>0.5</v>
      </c>
      <c r="D79" s="2">
        <f t="shared" si="9"/>
        <v>10</v>
      </c>
      <c r="E79" s="1">
        <f t="shared" si="3"/>
        <v>0.74290526254923595</v>
      </c>
      <c r="F79" s="1">
        <f t="shared" si="10"/>
        <v>0.70575999942177414</v>
      </c>
    </row>
    <row r="80">
      <c r="A80" s="2" t="s">
        <v>127</v>
      </c>
      <c r="B80" s="2">
        <v>9.5</v>
      </c>
      <c r="C80" s="2">
        <v>0.5</v>
      </c>
      <c r="D80" s="2">
        <f t="shared" si="9"/>
        <v>10</v>
      </c>
      <c r="E80" s="1">
        <f t="shared" si="3"/>
        <v>0.70575999942177414</v>
      </c>
      <c r="F80" s="1">
        <f t="shared" si="10"/>
        <v>0.67047199945068547</v>
      </c>
    </row>
    <row r="81">
      <c r="A81" s="2" t="s">
        <v>128</v>
      </c>
      <c r="B81" s="2">
        <v>9.5</v>
      </c>
      <c r="C81" s="2">
        <v>0.5</v>
      </c>
      <c r="D81" s="2">
        <f t="shared" si="9"/>
        <v>10</v>
      </c>
      <c r="E81" s="1">
        <f t="shared" si="3"/>
        <v>0.67047199945068547</v>
      </c>
      <c r="F81" s="1">
        <f t="shared" si="10"/>
        <v>0.63694839947815118</v>
      </c>
    </row>
    <row r="82">
      <c r="A82" s="2" t="s">
        <v>129</v>
      </c>
      <c r="B82" s="2">
        <v>9.5</v>
      </c>
      <c r="C82" s="2">
        <v>0.5</v>
      </c>
      <c r="D82" s="2">
        <f t="shared" si="9"/>
        <v>10</v>
      </c>
      <c r="E82" s="1">
        <f t="shared" si="3"/>
        <v>0.63694839947815118</v>
      </c>
      <c r="F82" s="1">
        <f t="shared" si="10"/>
        <v>0.60510097950424357</v>
      </c>
    </row>
    <row r="83">
      <c r="A83" s="2" t="s">
        <v>130</v>
      </c>
      <c r="B83" s="2">
        <v>9.5</v>
      </c>
      <c r="C83" s="2">
        <v>0.5</v>
      </c>
      <c r="D83" s="2">
        <f t="shared" si="9"/>
        <v>10</v>
      </c>
      <c r="E83" s="1">
        <f t="shared" si="3"/>
        <v>0.60510097950424357</v>
      </c>
      <c r="F83" s="1">
        <f t="shared" si="10"/>
        <v>0.57484593052903143</v>
      </c>
    </row>
    <row r="84">
      <c r="A84" s="2" t="s">
        <v>131</v>
      </c>
      <c r="B84" s="2">
        <v>9.5</v>
      </c>
      <c r="C84" s="2">
        <v>0.5</v>
      </c>
      <c r="D84" s="2">
        <f t="shared" si="9"/>
        <v>10</v>
      </c>
      <c r="E84" s="1">
        <f t="shared" si="3"/>
        <v>0.57484593052903143</v>
      </c>
      <c r="F84" s="1">
        <f t="shared" si="10"/>
        <v>0.54610363400257989</v>
      </c>
    </row>
    <row r="85">
      <c r="A85" s="2" t="s">
        <v>132</v>
      </c>
      <c r="B85" s="2">
        <v>9.5</v>
      </c>
      <c r="C85" s="2">
        <v>0.5</v>
      </c>
      <c r="D85" s="2">
        <f t="shared" si="9"/>
        <v>10</v>
      </c>
      <c r="E85" s="1">
        <f t="shared" si="3"/>
        <v>0.54610363400257989</v>
      </c>
      <c r="F85" s="1">
        <f t="shared" si="10"/>
        <v>0.51879845230245092</v>
      </c>
    </row>
    <row r="86">
      <c r="A86" s="2" t="s">
        <v>133</v>
      </c>
      <c r="B86" s="2">
        <v>9.5</v>
      </c>
      <c r="C86" s="2">
        <v>0.5</v>
      </c>
      <c r="D86" s="2">
        <f t="shared" si="9"/>
        <v>10</v>
      </c>
      <c r="E86" s="1">
        <f t="shared" si="3"/>
        <v>0.51879845230245092</v>
      </c>
      <c r="F86" s="1">
        <f t="shared" si="10"/>
        <v>0.49285852968732835</v>
      </c>
    </row>
    <row r="87">
      <c r="A87" s="2" t="s">
        <v>134</v>
      </c>
      <c r="B87" s="2">
        <v>9.5</v>
      </c>
      <c r="C87" s="2">
        <v>0.5</v>
      </c>
      <c r="D87" s="2">
        <f t="shared" si="9"/>
        <v>10</v>
      </c>
      <c r="E87" s="1">
        <f t="shared" ref="E87" si="11">F86</f>
        <v>0.49285852968732835</v>
      </c>
      <c r="F87" s="1">
        <f t="shared" si="10"/>
        <v>0.46821560320296191</v>
      </c>
    </row>
    <row r="88">
      <c r="A88" s="2" t="s">
        <v>135</v>
      </c>
      <c r="B88" s="2">
        <v>9.5</v>
      </c>
      <c r="C88" s="2">
        <v>0.5</v>
      </c>
      <c r="D88" s="2">
        <f t="shared" si="9"/>
        <v>10</v>
      </c>
      <c r="E88" s="1">
        <f t="shared" si="3"/>
        <v>0.46821560320296191</v>
      </c>
      <c r="F88" s="1">
        <f t="shared" si="10"/>
        <v>0.44480482304281377</v>
      </c>
    </row>
    <row r="89">
      <c r="A89" s="2" t="s">
        <v>136</v>
      </c>
      <c r="B89" s="2">
        <v>9.5</v>
      </c>
      <c r="C89" s="2">
        <v>0.5</v>
      </c>
      <c r="D89" s="2">
        <f t="shared" si="9"/>
        <v>10</v>
      </c>
      <c r="E89" s="1">
        <f t="shared" ref="E89:E95" si="12">F88</f>
        <v>0.44480482304281377</v>
      </c>
      <c r="F89" s="1">
        <f t="shared" si="10"/>
        <v>0.42256458189067309</v>
      </c>
    </row>
    <row r="90">
      <c r="A90" s="2" t="s">
        <v>137</v>
      </c>
      <c r="B90" s="2">
        <v>9.5</v>
      </c>
      <c r="C90" s="2">
        <v>0.5</v>
      </c>
      <c r="D90" s="2">
        <f t="shared" si="9"/>
        <v>10</v>
      </c>
      <c r="E90" s="1">
        <f t="shared" si="12"/>
        <v>0.42256458189067309</v>
      </c>
      <c r="F90" s="1">
        <f t="shared" si="10"/>
        <v>0.40143635279613943</v>
      </c>
    </row>
    <row r="91">
      <c r="A91" s="2" t="s">
        <v>138</v>
      </c>
      <c r="B91" s="2">
        <v>9.5</v>
      </c>
      <c r="C91" s="2">
        <v>0.5</v>
      </c>
      <c r="D91" s="2">
        <f t="shared" si="9"/>
        <v>10</v>
      </c>
      <c r="E91" s="1">
        <f t="shared" si="12"/>
        <v>0.40143635279613943</v>
      </c>
      <c r="F91" s="1">
        <f t="shared" si="10"/>
        <v>0.38136453515633245</v>
      </c>
    </row>
    <row r="92">
      <c r="A92" s="2" t="s">
        <v>139</v>
      </c>
      <c r="B92" s="2">
        <v>9.5</v>
      </c>
      <c r="C92" s="2">
        <v>0.5</v>
      </c>
      <c r="D92" s="2">
        <f t="shared" si="9"/>
        <v>10</v>
      </c>
      <c r="E92" s="1">
        <f t="shared" si="12"/>
        <v>0.38136453515633245</v>
      </c>
      <c r="F92" s="1">
        <f t="shared" si="10"/>
        <v>0.36229630839851584</v>
      </c>
    </row>
    <row r="93">
      <c r="A93" s="2" t="s">
        <v>140</v>
      </c>
      <c r="B93" s="2">
        <v>9.5</v>
      </c>
      <c r="C93" s="2">
        <v>0.5</v>
      </c>
      <c r="D93" s="2">
        <f t="shared" si="9"/>
        <v>10</v>
      </c>
      <c r="E93" s="1">
        <f t="shared" si="12"/>
        <v>0.36229630839851584</v>
      </c>
      <c r="F93" s="1">
        <f t="shared" si="10"/>
        <v>0.34418149297859008</v>
      </c>
    </row>
    <row r="94">
      <c r="A94" s="2" t="s">
        <v>141</v>
      </c>
      <c r="B94" s="2">
        <v>9.5</v>
      </c>
      <c r="C94" s="2">
        <v>0.5</v>
      </c>
      <c r="D94" s="2">
        <f t="shared" si="9"/>
        <v>10</v>
      </c>
      <c r="E94" s="1">
        <f t="shared" si="12"/>
        <v>0.34418149297859008</v>
      </c>
      <c r="F94" s="1">
        <f t="shared" si="10"/>
        <v>0.32697241832966056</v>
      </c>
    </row>
    <row r="95">
      <c r="A95" s="2" t="s">
        <v>142</v>
      </c>
      <c r="B95" s="2">
        <v>9.5</v>
      </c>
      <c r="C95" s="2">
        <v>0.5</v>
      </c>
      <c r="D95" s="2">
        <f t="shared" si="9"/>
        <v>10</v>
      </c>
      <c r="E95" s="1">
        <f t="shared" si="12"/>
        <v>0.32697241832966056</v>
      </c>
      <c r="F95" s="1">
        <f t="shared" si="10"/>
        <v>0.31062379741317753</v>
      </c>
    </row>
    <row r="96">
      <c r="A96" s="2" t="s">
        <v>162</v>
      </c>
      <c r="B96" s="2">
        <v>9.5</v>
      </c>
      <c r="C96" s="2">
        <v>0.5</v>
      </c>
      <c r="D96" s="2">
        <f t="shared" ref="D96:D114" si="13">B96+C96</f>
        <v>10</v>
      </c>
      <c r="E96" s="1">
        <f t="shared" ref="E96:E114" si="14">F95</f>
        <v>0.31062379741317753</v>
      </c>
      <c r="F96" s="1">
        <f t="shared" ref="F96:F114" si="15">(E96*B96)/D96</f>
        <v>0.29509260754251865</v>
      </c>
    </row>
    <row r="97">
      <c r="A97" s="2" t="s">
        <v>163</v>
      </c>
      <c r="B97" s="2">
        <v>9.5</v>
      </c>
      <c r="C97" s="2">
        <v>0.5</v>
      </c>
      <c r="D97" s="2">
        <f t="shared" si="13"/>
        <v>10</v>
      </c>
      <c r="E97" s="1">
        <f t="shared" si="14"/>
        <v>0.29509260754251865</v>
      </c>
      <c r="F97" s="1">
        <f t="shared" si="15"/>
        <v>0.28033797716539272</v>
      </c>
    </row>
    <row r="98">
      <c r="A98" s="2" t="s">
        <v>164</v>
      </c>
      <c r="B98" s="2">
        <v>9.5</v>
      </c>
      <c r="C98" s="2">
        <v>0.5</v>
      </c>
      <c r="D98" s="2">
        <f t="shared" si="13"/>
        <v>10</v>
      </c>
      <c r="E98" s="1">
        <f t="shared" si="14"/>
        <v>0.28033797716539272</v>
      </c>
      <c r="F98" s="1">
        <f t="shared" si="15"/>
        <v>0.26632107830712309</v>
      </c>
    </row>
    <row r="99">
      <c r="A99" s="2" t="s">
        <v>165</v>
      </c>
      <c r="B99" s="2">
        <v>9.5</v>
      </c>
      <c r="C99" s="2">
        <v>0.5</v>
      </c>
      <c r="D99" s="2">
        <f t="shared" si="13"/>
        <v>10</v>
      </c>
      <c r="E99" s="1">
        <f t="shared" si="14"/>
        <v>0.26632107830712309</v>
      </c>
      <c r="F99" s="1">
        <f t="shared" si="15"/>
        <v>0.25300502439176692</v>
      </c>
    </row>
    <row r="100">
      <c r="A100" s="2" t="s">
        <v>166</v>
      </c>
      <c r="B100" s="2">
        <v>9.5</v>
      </c>
      <c r="C100" s="2">
        <v>0.5</v>
      </c>
      <c r="D100" s="2">
        <f t="shared" si="13"/>
        <v>10</v>
      </c>
      <c r="E100" s="1">
        <f t="shared" si="14"/>
        <v>0.25300502439176692</v>
      </c>
      <c r="F100" s="1">
        <f t="shared" si="15"/>
        <v>0.2403547731721786</v>
      </c>
    </row>
    <row r="101">
      <c r="A101" s="2" t="s">
        <v>167</v>
      </c>
      <c r="B101" s="2">
        <v>9.5</v>
      </c>
      <c r="C101" s="2">
        <v>0.5</v>
      </c>
      <c r="D101" s="2">
        <f t="shared" si="13"/>
        <v>10</v>
      </c>
      <c r="E101" s="1">
        <f t="shared" si="14"/>
        <v>0.2403547731721786</v>
      </c>
      <c r="F101" s="1">
        <f t="shared" si="15"/>
        <v>0.22833703451356965</v>
      </c>
    </row>
    <row r="102">
      <c r="A102" s="2" t="s">
        <v>168</v>
      </c>
      <c r="B102" s="2">
        <v>9.5</v>
      </c>
      <c r="C102" s="2">
        <v>0.5</v>
      </c>
      <c r="D102" s="2">
        <f t="shared" si="13"/>
        <v>10</v>
      </c>
      <c r="E102" s="1">
        <f t="shared" si="14"/>
        <v>0.22833703451356965</v>
      </c>
      <c r="F102" s="1">
        <f t="shared" si="15"/>
        <v>0.21692018278789119</v>
      </c>
    </row>
    <row r="103">
      <c r="A103" s="2" t="s">
        <v>169</v>
      </c>
      <c r="B103" s="2">
        <v>9.5</v>
      </c>
      <c r="C103" s="2">
        <v>0.5</v>
      </c>
      <c r="D103" s="2">
        <f t="shared" si="13"/>
        <v>10</v>
      </c>
      <c r="E103" s="1">
        <f t="shared" si="14"/>
        <v>0.21692018278789119</v>
      </c>
      <c r="F103" s="1">
        <f t="shared" si="15"/>
        <v>0.20607417364849662</v>
      </c>
    </row>
    <row r="104">
      <c r="A104" s="2" t="s">
        <v>170</v>
      </c>
      <c r="B104" s="2">
        <v>9.5</v>
      </c>
      <c r="C104" s="2">
        <v>0.5</v>
      </c>
      <c r="D104" s="2">
        <f t="shared" si="13"/>
        <v>10</v>
      </c>
      <c r="E104" s="1">
        <f t="shared" si="14"/>
        <v>0.20607417364849662</v>
      </c>
      <c r="F104" s="1">
        <f t="shared" si="15"/>
        <v>0.19577046496607178</v>
      </c>
    </row>
    <row r="105">
      <c r="A105" s="2" t="s">
        <v>171</v>
      </c>
      <c r="B105" s="2">
        <v>9.5</v>
      </c>
      <c r="C105" s="2">
        <v>0.5</v>
      </c>
      <c r="D105" s="2">
        <f t="shared" si="13"/>
        <v>10</v>
      </c>
      <c r="E105" s="1">
        <f t="shared" si="14"/>
        <v>0.19577046496607178</v>
      </c>
      <c r="F105" s="1">
        <f t="shared" si="15"/>
        <v>0.18598194171776819</v>
      </c>
    </row>
    <row r="106">
      <c r="A106" s="2" t="s">
        <v>172</v>
      </c>
      <c r="B106" s="2">
        <v>9.5</v>
      </c>
      <c r="C106" s="2">
        <v>0.5</v>
      </c>
      <c r="D106" s="2">
        <f t="shared" si="13"/>
        <v>10</v>
      </c>
      <c r="E106" s="1">
        <f t="shared" si="14"/>
        <v>0.18598194171776819</v>
      </c>
      <c r="F106" s="1">
        <f t="shared" si="15"/>
        <v>0.17668284463187978</v>
      </c>
    </row>
    <row r="107">
      <c r="A107" s="2" t="s">
        <v>173</v>
      </c>
      <c r="B107" s="2">
        <v>9.5</v>
      </c>
      <c r="C107" s="2">
        <v>0.5</v>
      </c>
      <c r="D107" s="2">
        <f t="shared" si="13"/>
        <v>10</v>
      </c>
      <c r="E107" s="1">
        <f t="shared" si="14"/>
        <v>0.17668284463187978</v>
      </c>
      <c r="F107" s="1">
        <f t="shared" si="15"/>
        <v>0.16784870240028579</v>
      </c>
    </row>
    <row r="108">
      <c r="A108" s="2" t="s">
        <v>174</v>
      </c>
      <c r="B108" s="2">
        <v>9.5</v>
      </c>
      <c r="C108" s="2">
        <v>0.5</v>
      </c>
      <c r="D108" s="2">
        <f t="shared" si="13"/>
        <v>10</v>
      </c>
      <c r="E108" s="1">
        <f t="shared" si="14"/>
        <v>0.16784870240028579</v>
      </c>
      <c r="F108" s="1">
        <f t="shared" si="15"/>
        <v>0.15945626728027151</v>
      </c>
    </row>
    <row r="109">
      <c r="A109" s="2" t="s">
        <v>175</v>
      </c>
      <c r="B109" s="2">
        <v>9.5</v>
      </c>
      <c r="C109" s="2">
        <v>0.5</v>
      </c>
      <c r="D109" s="2">
        <f t="shared" si="13"/>
        <v>10</v>
      </c>
      <c r="E109" s="1">
        <f t="shared" si="14"/>
        <v>0.15945626728027151</v>
      </c>
      <c r="F109" s="1">
        <f t="shared" si="15"/>
        <v>0.15148345391625795</v>
      </c>
    </row>
    <row r="110">
      <c r="A110" s="2" t="s">
        <v>176</v>
      </c>
      <c r="B110" s="2">
        <v>9.5</v>
      </c>
      <c r="C110" s="2">
        <v>0.5</v>
      </c>
      <c r="D110" s="2">
        <f t="shared" si="13"/>
        <v>10</v>
      </c>
      <c r="E110" s="1">
        <f t="shared" si="14"/>
        <v>0.15148345391625795</v>
      </c>
      <c r="F110" s="1">
        <f t="shared" si="15"/>
        <v>0.14390928122044505</v>
      </c>
    </row>
    <row r="111">
      <c r="A111" s="2" t="s">
        <v>177</v>
      </c>
      <c r="B111" s="2">
        <v>9.5</v>
      </c>
      <c r="C111" s="2">
        <v>0.5</v>
      </c>
      <c r="D111" s="2">
        <f t="shared" si="13"/>
        <v>10</v>
      </c>
      <c r="E111" s="1">
        <f t="shared" si="14"/>
        <v>0.14390928122044505</v>
      </c>
      <c r="F111" s="1">
        <f t="shared" si="15"/>
        <v>0.1367138171594228</v>
      </c>
    </row>
    <row r="112">
      <c r="A112" s="2" t="s">
        <v>178</v>
      </c>
      <c r="B112" s="2">
        <v>9.5</v>
      </c>
      <c r="C112" s="2">
        <v>0.5</v>
      </c>
      <c r="D112" s="2">
        <f t="shared" si="13"/>
        <v>10</v>
      </c>
      <c r="E112" s="1">
        <f t="shared" si="14"/>
        <v>0.1367138171594228</v>
      </c>
      <c r="F112" s="1">
        <f t="shared" si="15"/>
        <v>0.12987812630145165</v>
      </c>
    </row>
    <row r="113">
      <c r="A113" s="2" t="s">
        <v>179</v>
      </c>
      <c r="B113" s="2">
        <v>9.5</v>
      </c>
      <c r="C113" s="2">
        <v>0.5</v>
      </c>
      <c r="D113" s="2">
        <f t="shared" si="13"/>
        <v>10</v>
      </c>
      <c r="E113" s="1">
        <f t="shared" si="14"/>
        <v>0.12987812630145165</v>
      </c>
      <c r="F113" s="1">
        <f t="shared" si="15"/>
        <v>0.12338421998637908</v>
      </c>
    </row>
    <row r="114">
      <c r="A114" s="2" t="s">
        <v>180</v>
      </c>
      <c r="B114" s="2">
        <v>9.5</v>
      </c>
      <c r="C114" s="2">
        <v>0.5</v>
      </c>
      <c r="D114" s="2">
        <f t="shared" si="13"/>
        <v>10</v>
      </c>
      <c r="E114" s="1">
        <f t="shared" si="14"/>
        <v>0.12338421998637908</v>
      </c>
      <c r="F114" s="1">
        <f t="shared" si="15"/>
        <v>0.11721500898706012</v>
      </c>
    </row>
    <row r="115">
      <c r="A115" s="2" t="s">
        <v>181</v>
      </c>
      <c r="B115" s="2">
        <v>9.5</v>
      </c>
      <c r="C115" s="2">
        <v>0.5</v>
      </c>
      <c r="D115" s="2">
        <f t="shared" ref="D115:D120" si="16">B115+C115</f>
        <v>10</v>
      </c>
      <c r="E115" s="1">
        <f t="shared" ref="E115:E120" si="17">F114</f>
        <v>0.11721500898706012</v>
      </c>
      <c r="F115" s="1">
        <f t="shared" ref="F115:F120" si="18">(E115*B115)/D115</f>
        <v>0.11135425853770711</v>
      </c>
    </row>
    <row r="116">
      <c r="A116" s="2" t="s">
        <v>182</v>
      </c>
      <c r="B116" s="2">
        <v>9.5</v>
      </c>
      <c r="C116" s="2">
        <v>0.5</v>
      </c>
      <c r="D116" s="2">
        <f t="shared" si="16"/>
        <v>10</v>
      </c>
      <c r="E116" s="1">
        <f t="shared" si="17"/>
        <v>0.11135425853770711</v>
      </c>
      <c r="F116" s="1">
        <f t="shared" si="18"/>
        <v>0.10578654561082175</v>
      </c>
    </row>
    <row r="117">
      <c r="A117" s="2" t="s">
        <v>183</v>
      </c>
      <c r="B117" s="2">
        <v>9.5</v>
      </c>
      <c r="C117" s="2">
        <v>0.5</v>
      </c>
      <c r="D117" s="2">
        <f t="shared" si="16"/>
        <v>10</v>
      </c>
      <c r="E117" s="1">
        <f t="shared" si="17"/>
        <v>0.10578654561082175</v>
      </c>
      <c r="F117" s="1">
        <f t="shared" si="18"/>
        <v>0.10049721833028066</v>
      </c>
    </row>
    <row r="118">
      <c r="A118" s="2" t="s">
        <v>184</v>
      </c>
      <c r="B118" s="2">
        <v>9.5</v>
      </c>
      <c r="C118" s="2">
        <v>0.5</v>
      </c>
      <c r="D118" s="2">
        <f t="shared" si="16"/>
        <v>10</v>
      </c>
      <c r="E118" s="1">
        <f t="shared" si="17"/>
        <v>0.10049721833028066</v>
      </c>
      <c r="F118" s="1">
        <f t="shared" si="18"/>
        <v>9.5472357413766626e-002</v>
      </c>
    </row>
    <row r="119">
      <c r="A119" s="2" t="s">
        <v>185</v>
      </c>
      <c r="B119" s="2">
        <v>9.5</v>
      </c>
      <c r="C119" s="2">
        <v>0.5</v>
      </c>
      <c r="D119" s="2">
        <f t="shared" si="16"/>
        <v>10</v>
      </c>
      <c r="E119" s="1">
        <f t="shared" si="17"/>
        <v>9.5472357413766626e-002</v>
      </c>
      <c r="F119" s="1">
        <f t="shared" si="18"/>
        <v>9.0698739543078305e-002</v>
      </c>
    </row>
    <row r="120">
      <c r="A120" s="2" t="s">
        <v>186</v>
      </c>
      <c r="B120" s="2">
        <v>9.5</v>
      </c>
      <c r="C120" s="2">
        <v>0.5</v>
      </c>
      <c r="D120" s="2">
        <f t="shared" si="16"/>
        <v>10</v>
      </c>
      <c r="E120" s="1">
        <f t="shared" si="17"/>
        <v>9.0698739543078305e-002</v>
      </c>
      <c r="F120" s="1">
        <f t="shared" si="18"/>
        <v>8.6163802565924388e-002</v>
      </c>
    </row>
    <row r="124">
      <c r="B124" s="2" t="s">
        <v>61</v>
      </c>
      <c r="C124" s="2" t="s">
        <v>62</v>
      </c>
      <c r="D124" s="2" t="s">
        <v>63</v>
      </c>
      <c r="E124" s="2" t="s">
        <v>64</v>
      </c>
      <c r="F124" s="2" t="s">
        <v>65</v>
      </c>
    </row>
    <row r="125">
      <c r="A125" s="2" t="s">
        <v>68</v>
      </c>
      <c r="B125" s="2">
        <v>4.5</v>
      </c>
      <c r="C125" s="2">
        <v>0</v>
      </c>
      <c r="D125" s="2">
        <f>B125+C125</f>
        <v>4.5</v>
      </c>
      <c r="E125" s="1">
        <f>O22</f>
        <v>18.187799999999999</v>
      </c>
      <c r="F125" s="1">
        <f>(E125*B125)/D125</f>
        <v>18.187799999999999</v>
      </c>
      <c r="G125" s="2">
        <v>300</v>
      </c>
    </row>
    <row r="126">
      <c r="A126" s="2" t="s">
        <v>69</v>
      </c>
      <c r="B126" s="2">
        <f>D125</f>
        <v>4.5</v>
      </c>
      <c r="C126" s="2">
        <v>0.5</v>
      </c>
      <c r="D126" s="2">
        <f t="shared" ref="D126:D189" si="19">B126+C126</f>
        <v>5</v>
      </c>
      <c r="E126" s="1">
        <f>F125</f>
        <v>18.187799999999999</v>
      </c>
      <c r="F126" s="1">
        <f t="shared" ref="F126:F132" si="20">(E126*B126)/D126</f>
        <v>16.369019999999999</v>
      </c>
    </row>
    <row r="127">
      <c r="A127" s="2" t="s">
        <v>70</v>
      </c>
      <c r="B127" s="2">
        <f t="shared" ref="B127:B133" si="21">D126</f>
        <v>5</v>
      </c>
      <c r="C127" s="2">
        <v>0.5</v>
      </c>
      <c r="D127" s="2">
        <f t="shared" si="19"/>
        <v>5.5</v>
      </c>
      <c r="E127" s="1">
        <f t="shared" ref="E127:E146" si="22">F126</f>
        <v>16.369019999999999</v>
      </c>
      <c r="F127" s="1">
        <f t="shared" si="20"/>
        <v>14.880927272727273</v>
      </c>
    </row>
    <row r="128">
      <c r="A128" s="2" t="s">
        <v>71</v>
      </c>
      <c r="B128" s="2">
        <f t="shared" si="21"/>
        <v>5.5</v>
      </c>
      <c r="C128" s="2">
        <v>0.5</v>
      </c>
      <c r="D128" s="2">
        <f t="shared" si="19"/>
        <v>6</v>
      </c>
      <c r="E128" s="1">
        <f t="shared" si="22"/>
        <v>14.880927272727273</v>
      </c>
      <c r="F128" s="1">
        <f t="shared" si="20"/>
        <v>13.64085</v>
      </c>
    </row>
    <row r="129">
      <c r="A129" s="2" t="s">
        <v>72</v>
      </c>
      <c r="B129" s="2">
        <f t="shared" si="21"/>
        <v>6</v>
      </c>
      <c r="C129" s="2">
        <v>0.5</v>
      </c>
      <c r="D129" s="2">
        <f t="shared" si="19"/>
        <v>6.5</v>
      </c>
      <c r="E129" s="1">
        <f t="shared" si="22"/>
        <v>13.64085</v>
      </c>
      <c r="F129" s="1">
        <f t="shared" si="20"/>
        <v>12.591553846153847</v>
      </c>
    </row>
    <row r="130">
      <c r="A130" s="2" t="s">
        <v>73</v>
      </c>
      <c r="B130" s="2">
        <f t="shared" si="21"/>
        <v>6.5</v>
      </c>
      <c r="C130" s="2">
        <v>0.5</v>
      </c>
      <c r="D130" s="2">
        <f t="shared" si="19"/>
        <v>7</v>
      </c>
      <c r="E130" s="1">
        <f t="shared" si="22"/>
        <v>12.591553846153847</v>
      </c>
      <c r="F130" s="1">
        <f t="shared" si="20"/>
        <v>11.692157142857143</v>
      </c>
      <c r="H130" s="2">
        <v>7.5</v>
      </c>
    </row>
    <row r="131">
      <c r="A131" s="2" t="s">
        <v>74</v>
      </c>
      <c r="B131" s="2">
        <f t="shared" si="21"/>
        <v>7</v>
      </c>
      <c r="C131" s="2">
        <v>0.5</v>
      </c>
      <c r="D131" s="2">
        <f t="shared" si="19"/>
        <v>7.5</v>
      </c>
      <c r="E131" s="1">
        <f t="shared" si="22"/>
        <v>11.692157142857143</v>
      </c>
      <c r="F131" s="1">
        <f t="shared" si="20"/>
        <v>10.91268</v>
      </c>
    </row>
    <row r="132">
      <c r="A132" s="2" t="s">
        <v>75</v>
      </c>
      <c r="B132" s="2">
        <f t="shared" si="21"/>
        <v>7.5</v>
      </c>
      <c r="C132" s="2">
        <v>0.5</v>
      </c>
      <c r="D132" s="2">
        <f t="shared" si="19"/>
        <v>8</v>
      </c>
      <c r="E132" s="1">
        <f t="shared" si="22"/>
        <v>10.91268</v>
      </c>
      <c r="F132" s="1">
        <f t="shared" si="20"/>
        <v>10.2306375</v>
      </c>
    </row>
    <row r="133">
      <c r="A133" s="2" t="s">
        <v>76</v>
      </c>
      <c r="B133" s="2">
        <f t="shared" si="21"/>
        <v>8</v>
      </c>
      <c r="C133" s="2">
        <v>0.5</v>
      </c>
      <c r="D133" s="2">
        <f t="shared" si="19"/>
        <v>8.5</v>
      </c>
      <c r="E133" s="1">
        <f t="shared" si="22"/>
        <v>10.2306375</v>
      </c>
      <c r="F133" s="1">
        <f>(E133*B133)/D133</f>
        <v>9.628835294117648</v>
      </c>
      <c r="G133" s="2">
        <v>240</v>
      </c>
    </row>
    <row r="134">
      <c r="A134" s="2" t="s">
        <v>77</v>
      </c>
      <c r="B134" s="2">
        <f>D133</f>
        <v>8.5</v>
      </c>
      <c r="C134" s="2">
        <v>0.5</v>
      </c>
      <c r="D134" s="2">
        <f t="shared" si="19"/>
        <v>9</v>
      </c>
      <c r="E134" s="1">
        <f t="shared" si="22"/>
        <v>9.628835294117648</v>
      </c>
      <c r="F134" s="1">
        <f t="shared" ref="F134:F153" si="23">(E134*B134)/D134</f>
        <v>9.0938999999999997</v>
      </c>
    </row>
    <row r="135">
      <c r="A135" s="2" t="s">
        <v>78</v>
      </c>
      <c r="B135" s="2">
        <f t="shared" ref="B135:B136" si="24">D134</f>
        <v>9</v>
      </c>
      <c r="C135" s="2">
        <v>0.5</v>
      </c>
      <c r="D135" s="2">
        <f t="shared" si="19"/>
        <v>9.5</v>
      </c>
      <c r="E135" s="1">
        <f t="shared" si="22"/>
        <v>9.0938999999999997</v>
      </c>
      <c r="F135" s="1">
        <f t="shared" si="23"/>
        <v>8.6152736842105266</v>
      </c>
    </row>
    <row r="136">
      <c r="A136" s="2" t="s">
        <v>79</v>
      </c>
      <c r="B136" s="2">
        <f t="shared" si="24"/>
        <v>9.5</v>
      </c>
      <c r="C136" s="2">
        <v>0.5</v>
      </c>
      <c r="D136" s="2">
        <f t="shared" si="19"/>
        <v>10</v>
      </c>
      <c r="E136" s="1">
        <f t="shared" si="22"/>
        <v>8.6152736842105266</v>
      </c>
      <c r="F136" s="1">
        <f t="shared" si="23"/>
        <v>8.1845099999999995</v>
      </c>
    </row>
    <row r="137">
      <c r="A137" s="2" t="s">
        <v>80</v>
      </c>
      <c r="B137" s="2">
        <v>9.5</v>
      </c>
      <c r="C137" s="2">
        <v>0.5</v>
      </c>
      <c r="D137" s="2">
        <f t="shared" si="19"/>
        <v>10</v>
      </c>
      <c r="E137" s="1">
        <f t="shared" si="22"/>
        <v>8.1845099999999995</v>
      </c>
      <c r="F137" s="1">
        <f t="shared" si="23"/>
        <v>7.7752844999999997</v>
      </c>
    </row>
    <row r="138">
      <c r="A138" s="2" t="s">
        <v>81</v>
      </c>
      <c r="B138" s="2">
        <v>9.5</v>
      </c>
      <c r="C138" s="2">
        <v>0.5</v>
      </c>
      <c r="D138" s="2">
        <f t="shared" si="19"/>
        <v>10</v>
      </c>
      <c r="E138" s="1">
        <f t="shared" si="22"/>
        <v>7.7752844999999997</v>
      </c>
      <c r="F138" s="1">
        <f t="shared" si="23"/>
        <v>7.3865202749999996</v>
      </c>
    </row>
    <row r="139">
      <c r="A139" s="2" t="s">
        <v>82</v>
      </c>
      <c r="B139" s="2">
        <v>9.5</v>
      </c>
      <c r="C139" s="2">
        <v>0.5</v>
      </c>
      <c r="D139" s="2">
        <f t="shared" si="19"/>
        <v>10</v>
      </c>
      <c r="E139" s="1">
        <f t="shared" si="22"/>
        <v>7.3865202749999996</v>
      </c>
      <c r="F139" s="1">
        <f t="shared" si="23"/>
        <v>7.0171942612499993</v>
      </c>
    </row>
    <row r="140">
      <c r="A140" s="2" t="s">
        <v>83</v>
      </c>
      <c r="B140" s="2">
        <v>9.5</v>
      </c>
      <c r="C140" s="2">
        <v>0.5</v>
      </c>
      <c r="D140" s="2">
        <f t="shared" si="19"/>
        <v>10</v>
      </c>
      <c r="E140" s="1">
        <f t="shared" si="22"/>
        <v>7.0171942612499993</v>
      </c>
      <c r="F140" s="1">
        <f t="shared" si="23"/>
        <v>6.6663345481874998</v>
      </c>
    </row>
    <row r="141">
      <c r="A141" s="2" t="s">
        <v>84</v>
      </c>
      <c r="B141" s="2">
        <v>9.5</v>
      </c>
      <c r="C141" s="2">
        <v>0.5</v>
      </c>
      <c r="D141" s="2">
        <f t="shared" si="19"/>
        <v>10</v>
      </c>
      <c r="E141" s="1">
        <f t="shared" si="22"/>
        <v>6.6663345481874998</v>
      </c>
      <c r="F141" s="1">
        <f t="shared" si="23"/>
        <v>6.3330178207781245</v>
      </c>
    </row>
    <row r="142">
      <c r="A142" s="2" t="s">
        <v>85</v>
      </c>
      <c r="B142" s="2">
        <v>9.5</v>
      </c>
      <c r="C142" s="2">
        <v>0.5</v>
      </c>
      <c r="D142" s="2">
        <f t="shared" si="19"/>
        <v>10</v>
      </c>
      <c r="E142" s="1">
        <f t="shared" si="22"/>
        <v>6.3330178207781245</v>
      </c>
      <c r="F142" s="1">
        <f t="shared" si="23"/>
        <v>6.0163669297392186</v>
      </c>
    </row>
    <row r="143">
      <c r="A143" s="2" t="s">
        <v>86</v>
      </c>
      <c r="B143" s="2">
        <v>9.5</v>
      </c>
      <c r="C143" s="2">
        <v>0.5</v>
      </c>
      <c r="D143" s="2">
        <f t="shared" si="19"/>
        <v>10</v>
      </c>
      <c r="E143" s="1">
        <f t="shared" si="22"/>
        <v>6.0163669297392186</v>
      </c>
      <c r="F143" s="1">
        <f t="shared" si="23"/>
        <v>5.7155485832522581</v>
      </c>
      <c r="G143" s="2">
        <v>300</v>
      </c>
    </row>
    <row r="144">
      <c r="A144" s="2" t="s">
        <v>87</v>
      </c>
      <c r="B144" s="2">
        <v>9.5</v>
      </c>
      <c r="C144" s="2">
        <v>0.5</v>
      </c>
      <c r="D144" s="2">
        <f t="shared" si="19"/>
        <v>10</v>
      </c>
      <c r="E144" s="1">
        <f t="shared" si="22"/>
        <v>5.7155485832522581</v>
      </c>
      <c r="F144" s="1">
        <f t="shared" si="23"/>
        <v>5.4297711540896447</v>
      </c>
    </row>
    <row r="145">
      <c r="A145" s="2" t="s">
        <v>88</v>
      </c>
      <c r="B145" s="2">
        <v>9.5</v>
      </c>
      <c r="C145" s="2">
        <v>0.5</v>
      </c>
      <c r="D145" s="2">
        <f t="shared" si="19"/>
        <v>10</v>
      </c>
      <c r="E145" s="1">
        <f t="shared" si="22"/>
        <v>5.4297711540896447</v>
      </c>
      <c r="F145" s="1">
        <f t="shared" si="23"/>
        <v>5.1582825963851624</v>
      </c>
    </row>
    <row r="146">
      <c r="A146" s="2" t="s">
        <v>89</v>
      </c>
      <c r="B146" s="2">
        <v>9.5</v>
      </c>
      <c r="C146" s="2">
        <v>0.5</v>
      </c>
      <c r="D146" s="2">
        <f t="shared" si="19"/>
        <v>10</v>
      </c>
      <c r="E146" s="1">
        <f t="shared" si="22"/>
        <v>5.1582825963851624</v>
      </c>
      <c r="F146" s="1">
        <f t="shared" si="23"/>
        <v>4.9003684665659044</v>
      </c>
    </row>
    <row r="147">
      <c r="A147" s="2" t="s">
        <v>90</v>
      </c>
      <c r="B147" s="2">
        <v>9.5</v>
      </c>
      <c r="C147" s="2">
        <v>0.5</v>
      </c>
      <c r="D147" s="2">
        <f t="shared" si="19"/>
        <v>10</v>
      </c>
      <c r="E147" s="1">
        <f>F146</f>
        <v>4.9003684665659044</v>
      </c>
      <c r="F147" s="1">
        <f t="shared" si="23"/>
        <v>4.6553500432376094</v>
      </c>
    </row>
    <row r="148">
      <c r="A148" s="2" t="s">
        <v>91</v>
      </c>
      <c r="B148" s="2">
        <v>9.5</v>
      </c>
      <c r="C148" s="2">
        <v>0.5</v>
      </c>
      <c r="D148" s="2">
        <f t="shared" si="19"/>
        <v>10</v>
      </c>
      <c r="E148" s="1">
        <f t="shared" ref="E148:E213" si="25">F147</f>
        <v>4.6553500432376094</v>
      </c>
      <c r="F148" s="1">
        <f t="shared" si="23"/>
        <v>4.4225825410757285</v>
      </c>
      <c r="G148" s="2">
        <v>250</v>
      </c>
    </row>
    <row r="149">
      <c r="A149" s="2" t="s">
        <v>92</v>
      </c>
      <c r="B149" s="2">
        <v>9.5</v>
      </c>
      <c r="C149" s="2">
        <v>0.5</v>
      </c>
      <c r="D149" s="2">
        <f t="shared" si="19"/>
        <v>10</v>
      </c>
      <c r="E149" s="1">
        <f t="shared" si="25"/>
        <v>4.4225825410757285</v>
      </c>
      <c r="F149" s="1">
        <f t="shared" si="23"/>
        <v>4.2014534140219419</v>
      </c>
    </row>
    <row r="150">
      <c r="A150" s="2" t="s">
        <v>93</v>
      </c>
      <c r="B150" s="2">
        <v>9.5</v>
      </c>
      <c r="C150" s="2">
        <v>0.5</v>
      </c>
      <c r="D150" s="2">
        <f t="shared" si="19"/>
        <v>10</v>
      </c>
      <c r="E150" s="1">
        <f t="shared" si="25"/>
        <v>4.2014534140219419</v>
      </c>
      <c r="F150" s="1">
        <f t="shared" si="23"/>
        <v>3.9913807433208448</v>
      </c>
    </row>
    <row r="151">
      <c r="A151" s="2" t="s">
        <v>94</v>
      </c>
      <c r="B151" s="2">
        <v>9.5</v>
      </c>
      <c r="C151" s="2">
        <v>0.5</v>
      </c>
      <c r="D151" s="2">
        <f t="shared" si="19"/>
        <v>10</v>
      </c>
      <c r="E151" s="1">
        <f t="shared" si="25"/>
        <v>3.9913807433208448</v>
      </c>
      <c r="F151" s="1">
        <f t="shared" si="23"/>
        <v>3.7918117061548022</v>
      </c>
    </row>
    <row r="152">
      <c r="A152" s="2" t="s">
        <v>95</v>
      </c>
      <c r="B152" s="2">
        <v>9.5</v>
      </c>
      <c r="C152" s="2">
        <v>0.5</v>
      </c>
      <c r="D152" s="2">
        <f t="shared" si="19"/>
        <v>10</v>
      </c>
      <c r="E152" s="1">
        <f t="shared" si="25"/>
        <v>3.7918117061548022</v>
      </c>
      <c r="F152" s="1">
        <f t="shared" si="23"/>
        <v>3.6022211208470623</v>
      </c>
      <c r="G152" s="2">
        <v>300</v>
      </c>
    </row>
    <row r="153">
      <c r="A153" s="2" t="s">
        <v>96</v>
      </c>
      <c r="B153" s="2">
        <v>9.5</v>
      </c>
      <c r="C153" s="2">
        <v>0.5</v>
      </c>
      <c r="D153" s="2">
        <f t="shared" si="19"/>
        <v>10</v>
      </c>
      <c r="E153" s="1">
        <f t="shared" si="25"/>
        <v>3.6022211208470623</v>
      </c>
      <c r="F153" s="1">
        <f t="shared" si="23"/>
        <v>3.4221100648047091</v>
      </c>
    </row>
    <row r="154">
      <c r="A154" s="2" t="s">
        <v>97</v>
      </c>
      <c r="B154" s="2">
        <v>9.5</v>
      </c>
      <c r="C154" s="2">
        <v>0.5</v>
      </c>
      <c r="D154" s="2">
        <f t="shared" si="19"/>
        <v>10</v>
      </c>
      <c r="E154" s="1">
        <f t="shared" si="25"/>
        <v>3.4221100648047091</v>
      </c>
      <c r="F154" s="1">
        <f>(E154*B154)/D154</f>
        <v>3.2510045615644736</v>
      </c>
    </row>
    <row r="155">
      <c r="A155" s="2" t="s">
        <v>98</v>
      </c>
      <c r="B155" s="2">
        <v>9.5</v>
      </c>
      <c r="C155" s="2">
        <v>0.5</v>
      </c>
      <c r="D155" s="2">
        <f t="shared" si="19"/>
        <v>10</v>
      </c>
      <c r="E155" s="1">
        <f t="shared" si="25"/>
        <v>3.2510045615644736</v>
      </c>
      <c r="F155" s="1">
        <f t="shared" ref="F155:F218" si="26">(E155*B155)/D155</f>
        <v>3.0884543334862498</v>
      </c>
    </row>
    <row r="156">
      <c r="A156" s="2" t="s">
        <v>99</v>
      </c>
      <c r="B156" s="2">
        <v>9.5</v>
      </c>
      <c r="C156" s="2">
        <v>0.5</v>
      </c>
      <c r="D156" s="2">
        <f t="shared" si="19"/>
        <v>10</v>
      </c>
      <c r="E156" s="1">
        <f t="shared" si="25"/>
        <v>3.0884543334862498</v>
      </c>
      <c r="F156" s="1">
        <f t="shared" si="26"/>
        <v>2.9340316168119371</v>
      </c>
    </row>
    <row r="157">
      <c r="A157" s="2" t="s">
        <v>100</v>
      </c>
      <c r="B157" s="2">
        <v>9.5</v>
      </c>
      <c r="C157" s="2">
        <v>0.5</v>
      </c>
      <c r="D157" s="2">
        <f t="shared" si="19"/>
        <v>10</v>
      </c>
      <c r="E157" s="1">
        <f t="shared" si="25"/>
        <v>2.9340316168119371</v>
      </c>
      <c r="F157" s="1">
        <f t="shared" si="26"/>
        <v>2.7873300359713404</v>
      </c>
    </row>
    <row r="158">
      <c r="A158" s="2" t="s">
        <v>101</v>
      </c>
      <c r="B158" s="2">
        <v>9.5</v>
      </c>
      <c r="C158" s="2">
        <v>0.5</v>
      </c>
      <c r="D158" s="2">
        <f t="shared" si="19"/>
        <v>10</v>
      </c>
      <c r="E158" s="1">
        <f t="shared" si="25"/>
        <v>2.7873300359713404</v>
      </c>
      <c r="F158" s="1">
        <f t="shared" si="26"/>
        <v>2.6479635341727734</v>
      </c>
      <c r="G158" s="2">
        <v>500</v>
      </c>
    </row>
    <row r="159">
      <c r="A159" s="2" t="s">
        <v>102</v>
      </c>
      <c r="B159" s="2">
        <v>9.5</v>
      </c>
      <c r="C159" s="2">
        <v>0.5</v>
      </c>
      <c r="D159" s="2">
        <f t="shared" si="19"/>
        <v>10</v>
      </c>
      <c r="E159" s="1">
        <f t="shared" si="25"/>
        <v>2.6479635341727734</v>
      </c>
      <c r="F159" s="1">
        <f t="shared" si="26"/>
        <v>2.5155653574641348</v>
      </c>
    </row>
    <row r="160">
      <c r="A160" s="2" t="s">
        <v>103</v>
      </c>
      <c r="B160" s="2">
        <v>9.5</v>
      </c>
      <c r="C160" s="2">
        <v>0.5</v>
      </c>
      <c r="D160" s="2">
        <f t="shared" si="19"/>
        <v>10</v>
      </c>
      <c r="E160" s="1">
        <f t="shared" si="25"/>
        <v>2.5155653574641348</v>
      </c>
      <c r="F160" s="1">
        <f t="shared" si="26"/>
        <v>2.3897870895909281</v>
      </c>
    </row>
    <row r="161">
      <c r="A161" s="2" t="s">
        <v>104</v>
      </c>
      <c r="B161" s="2">
        <v>9.5</v>
      </c>
      <c r="C161" s="2">
        <v>0.5</v>
      </c>
      <c r="D161" s="2">
        <f t="shared" si="19"/>
        <v>10</v>
      </c>
      <c r="E161" s="1">
        <f t="shared" si="25"/>
        <v>2.3897870895909281</v>
      </c>
      <c r="F161" s="1">
        <f t="shared" si="26"/>
        <v>2.2702977351113818</v>
      </c>
    </row>
    <row r="162">
      <c r="A162" s="2" t="s">
        <v>105</v>
      </c>
      <c r="B162" s="2">
        <v>9.5</v>
      </c>
      <c r="C162" s="2">
        <v>0.5</v>
      </c>
      <c r="D162" s="2">
        <f t="shared" si="19"/>
        <v>10</v>
      </c>
      <c r="E162" s="1">
        <f t="shared" si="25"/>
        <v>2.2702977351113818</v>
      </c>
      <c r="F162" s="1">
        <f t="shared" si="26"/>
        <v>2.1567828483558129</v>
      </c>
    </row>
    <row r="163">
      <c r="A163" s="2" t="s">
        <v>106</v>
      </c>
      <c r="B163" s="2">
        <v>9.5</v>
      </c>
      <c r="C163" s="2">
        <v>0.5</v>
      </c>
      <c r="D163" s="2">
        <f t="shared" si="19"/>
        <v>10</v>
      </c>
      <c r="E163" s="1">
        <f t="shared" si="25"/>
        <v>2.1567828483558129</v>
      </c>
      <c r="F163" s="1">
        <f t="shared" si="26"/>
        <v>2.0489437059380222</v>
      </c>
    </row>
    <row r="164">
      <c r="A164" s="2" t="s">
        <v>107</v>
      </c>
      <c r="B164" s="2">
        <v>9.5</v>
      </c>
      <c r="C164" s="2">
        <v>0.5</v>
      </c>
      <c r="D164" s="2">
        <f t="shared" si="19"/>
        <v>10</v>
      </c>
      <c r="E164" s="1">
        <f t="shared" si="25"/>
        <v>2.0489437059380222</v>
      </c>
      <c r="F164" s="1">
        <f t="shared" si="26"/>
        <v>1.9464965206411211</v>
      </c>
    </row>
    <row r="165">
      <c r="A165" s="2" t="s">
        <v>108</v>
      </c>
      <c r="B165" s="2">
        <v>9.5</v>
      </c>
      <c r="C165" s="2">
        <v>0.5</v>
      </c>
      <c r="D165" s="2">
        <f t="shared" si="19"/>
        <v>10</v>
      </c>
      <c r="E165" s="1">
        <f t="shared" si="25"/>
        <v>1.9464965206411211</v>
      </c>
      <c r="F165" s="1">
        <f t="shared" si="26"/>
        <v>1.8491716946090651</v>
      </c>
    </row>
    <row r="166">
      <c r="A166" s="2" t="s">
        <v>109</v>
      </c>
      <c r="B166" s="2">
        <v>9.5</v>
      </c>
      <c r="C166" s="2">
        <v>0.5</v>
      </c>
      <c r="D166" s="2">
        <f t="shared" si="19"/>
        <v>10</v>
      </c>
      <c r="E166" s="1">
        <f t="shared" si="25"/>
        <v>1.8491716946090651</v>
      </c>
      <c r="F166" s="1">
        <f t="shared" si="26"/>
        <v>1.7567131098786117</v>
      </c>
      <c r="G166" s="2">
        <v>1000</v>
      </c>
    </row>
    <row r="167">
      <c r="A167" s="2" t="s">
        <v>110</v>
      </c>
      <c r="B167" s="2">
        <v>9.5</v>
      </c>
      <c r="C167" s="2">
        <v>0.5</v>
      </c>
      <c r="D167" s="2">
        <f t="shared" si="19"/>
        <v>10</v>
      </c>
      <c r="E167" s="1">
        <f t="shared" si="25"/>
        <v>1.7567131098786117</v>
      </c>
      <c r="F167" s="1">
        <f t="shared" si="26"/>
        <v>1.6688774543846812</v>
      </c>
    </row>
    <row r="168">
      <c r="A168" s="2" t="s">
        <v>111</v>
      </c>
      <c r="B168" s="2">
        <v>9.5</v>
      </c>
      <c r="C168" s="2">
        <v>0.5</v>
      </c>
      <c r="D168" s="2">
        <f t="shared" si="19"/>
        <v>10</v>
      </c>
      <c r="E168" s="1">
        <f t="shared" si="25"/>
        <v>1.6688774543846812</v>
      </c>
      <c r="F168" s="1">
        <f t="shared" si="26"/>
        <v>1.585433581665447</v>
      </c>
    </row>
    <row r="169">
      <c r="A169" s="2" t="s">
        <v>112</v>
      </c>
      <c r="B169" s="2">
        <v>9.5</v>
      </c>
      <c r="C169" s="2">
        <v>0.5</v>
      </c>
      <c r="D169" s="2">
        <f t="shared" si="19"/>
        <v>10</v>
      </c>
      <c r="E169" s="1">
        <f t="shared" si="25"/>
        <v>1.585433581665447</v>
      </c>
      <c r="F169" s="1">
        <f t="shared" si="26"/>
        <v>1.5061619025821746</v>
      </c>
    </row>
    <row r="170">
      <c r="A170" s="2" t="s">
        <v>113</v>
      </c>
      <c r="B170" s="2">
        <v>9.5</v>
      </c>
      <c r="C170" s="2">
        <v>0.5</v>
      </c>
      <c r="D170" s="2">
        <f t="shared" si="19"/>
        <v>10</v>
      </c>
      <c r="E170" s="1">
        <f t="shared" si="25"/>
        <v>1.5061619025821746</v>
      </c>
      <c r="F170" s="1">
        <f t="shared" si="26"/>
        <v>1.4308538074530659</v>
      </c>
    </row>
    <row r="171">
      <c r="A171" s="2" t="s">
        <v>114</v>
      </c>
      <c r="B171" s="2">
        <v>9.5</v>
      </c>
      <c r="C171" s="2">
        <v>0.5</v>
      </c>
      <c r="D171" s="2">
        <f t="shared" si="19"/>
        <v>10</v>
      </c>
      <c r="E171" s="1">
        <f t="shared" si="25"/>
        <v>1.4308538074530659</v>
      </c>
      <c r="F171" s="1">
        <f t="shared" si="26"/>
        <v>1.3593111170804126</v>
      </c>
    </row>
    <row r="172">
      <c r="A172" s="2" t="s">
        <v>115</v>
      </c>
      <c r="B172" s="2">
        <v>9.5</v>
      </c>
      <c r="C172" s="2">
        <v>0.5</v>
      </c>
      <c r="D172" s="2">
        <f t="shared" si="19"/>
        <v>10</v>
      </c>
      <c r="E172" s="1">
        <f t="shared" si="25"/>
        <v>1.3593111170804126</v>
      </c>
      <c r="F172" s="1">
        <f t="shared" si="26"/>
        <v>1.291345561226392</v>
      </c>
    </row>
    <row r="173">
      <c r="A173" s="2" t="s">
        <v>116</v>
      </c>
      <c r="B173" s="2">
        <v>9.5</v>
      </c>
      <c r="C173" s="2">
        <v>0.5</v>
      </c>
      <c r="D173" s="2">
        <f t="shared" si="19"/>
        <v>10</v>
      </c>
      <c r="E173" s="1">
        <f t="shared" si="25"/>
        <v>1.291345561226392</v>
      </c>
      <c r="F173" s="1">
        <f t="shared" si="26"/>
        <v>1.2267782831650724</v>
      </c>
    </row>
    <row r="174">
      <c r="A174" s="2" t="s">
        <v>117</v>
      </c>
      <c r="B174" s="2">
        <v>9.5</v>
      </c>
      <c r="C174" s="2">
        <v>0.5</v>
      </c>
      <c r="D174" s="2">
        <f t="shared" si="19"/>
        <v>10</v>
      </c>
      <c r="E174" s="1">
        <f t="shared" si="25"/>
        <v>1.2267782831650724</v>
      </c>
      <c r="F174" s="1">
        <f t="shared" si="26"/>
        <v>1.1654393690068188</v>
      </c>
    </row>
    <row r="175">
      <c r="A175" s="2" t="s">
        <v>118</v>
      </c>
      <c r="B175" s="2">
        <v>9.5</v>
      </c>
      <c r="C175" s="2">
        <v>0.5</v>
      </c>
      <c r="D175" s="2">
        <f t="shared" si="19"/>
        <v>10</v>
      </c>
      <c r="E175" s="1">
        <f t="shared" si="25"/>
        <v>1.1654393690068188</v>
      </c>
      <c r="F175" s="1">
        <f t="shared" si="26"/>
        <v>1.1071674005564778</v>
      </c>
    </row>
    <row r="176">
      <c r="A176" s="2" t="s">
        <v>119</v>
      </c>
      <c r="B176" s="2">
        <v>9.5</v>
      </c>
      <c r="C176" s="2">
        <v>0.5</v>
      </c>
      <c r="D176" s="2">
        <f t="shared" si="19"/>
        <v>10</v>
      </c>
      <c r="E176" s="1">
        <f t="shared" si="25"/>
        <v>1.1071674005564778</v>
      </c>
      <c r="F176" s="1">
        <f t="shared" si="26"/>
        <v>1.0518090305286538</v>
      </c>
    </row>
    <row r="177">
      <c r="A177" s="2" t="s">
        <v>120</v>
      </c>
      <c r="B177" s="2">
        <v>9.5</v>
      </c>
      <c r="C177" s="2">
        <v>0.5</v>
      </c>
      <c r="D177" s="2">
        <f t="shared" si="19"/>
        <v>10</v>
      </c>
      <c r="E177" s="1">
        <f t="shared" si="25"/>
        <v>1.0518090305286538</v>
      </c>
      <c r="F177" s="1">
        <f t="shared" si="26"/>
        <v>0.99921857900222122</v>
      </c>
    </row>
    <row r="178">
      <c r="A178" s="2" t="s">
        <v>121</v>
      </c>
      <c r="B178" s="2">
        <v>9.5</v>
      </c>
      <c r="C178" s="2">
        <v>0.5</v>
      </c>
      <c r="D178" s="2">
        <f t="shared" si="19"/>
        <v>10</v>
      </c>
      <c r="E178" s="1">
        <f t="shared" si="25"/>
        <v>0.99921857900222122</v>
      </c>
      <c r="F178" s="1">
        <f t="shared" si="26"/>
        <v>0.94925765005211016</v>
      </c>
    </row>
    <row r="179">
      <c r="A179" s="2" t="s">
        <v>122</v>
      </c>
      <c r="B179" s="2">
        <v>9.5</v>
      </c>
      <c r="C179" s="2">
        <v>0.5</v>
      </c>
      <c r="D179" s="2">
        <f t="shared" si="19"/>
        <v>10</v>
      </c>
      <c r="E179" s="1">
        <f t="shared" si="25"/>
        <v>0.94925765005211016</v>
      </c>
      <c r="F179" s="1">
        <f t="shared" si="26"/>
        <v>0.90179476754950461</v>
      </c>
    </row>
    <row r="180">
      <c r="A180" s="2" t="s">
        <v>123</v>
      </c>
      <c r="B180" s="2">
        <v>9.5</v>
      </c>
      <c r="C180" s="2">
        <v>0.5</v>
      </c>
      <c r="D180" s="2">
        <f t="shared" si="19"/>
        <v>10</v>
      </c>
      <c r="E180" s="1">
        <f t="shared" si="25"/>
        <v>0.90179476754950461</v>
      </c>
      <c r="F180" s="1">
        <f t="shared" si="26"/>
        <v>0.8567050291720294</v>
      </c>
    </row>
    <row r="181">
      <c r="A181" s="2" t="s">
        <v>124</v>
      </c>
      <c r="B181" s="2">
        <v>9.5</v>
      </c>
      <c r="C181" s="2">
        <v>0.5</v>
      </c>
      <c r="D181" s="2">
        <f t="shared" si="19"/>
        <v>10</v>
      </c>
      <c r="E181" s="1">
        <f t="shared" si="25"/>
        <v>0.8567050291720294</v>
      </c>
      <c r="F181" s="1">
        <f t="shared" si="26"/>
        <v>0.81386977771342794</v>
      </c>
    </row>
    <row r="182">
      <c r="A182" s="2" t="s">
        <v>125</v>
      </c>
      <c r="B182" s="2">
        <v>9.5</v>
      </c>
      <c r="C182" s="2">
        <v>0.5</v>
      </c>
      <c r="D182" s="2">
        <f t="shared" si="19"/>
        <v>10</v>
      </c>
      <c r="E182" s="1">
        <f t="shared" si="25"/>
        <v>0.81386977771342794</v>
      </c>
      <c r="F182" s="1">
        <f t="shared" si="26"/>
        <v>0.77317628882775646</v>
      </c>
    </row>
    <row r="183">
      <c r="A183" s="2" t="s">
        <v>126</v>
      </c>
      <c r="B183" s="2">
        <v>9.5</v>
      </c>
      <c r="C183" s="2">
        <v>0.5</v>
      </c>
      <c r="D183" s="2">
        <f t="shared" si="19"/>
        <v>10</v>
      </c>
      <c r="E183" s="1">
        <f t="shared" si="25"/>
        <v>0.77317628882775646</v>
      </c>
      <c r="F183" s="1">
        <f t="shared" si="26"/>
        <v>0.73451747438636861</v>
      </c>
    </row>
    <row r="184">
      <c r="A184" s="2" t="s">
        <v>127</v>
      </c>
      <c r="B184" s="2">
        <v>9.5</v>
      </c>
      <c r="C184" s="2">
        <v>0.5</v>
      </c>
      <c r="D184" s="2">
        <f t="shared" si="19"/>
        <v>10</v>
      </c>
      <c r="E184" s="1">
        <f t="shared" si="25"/>
        <v>0.73451747438636861</v>
      </c>
      <c r="F184" s="1">
        <f t="shared" si="26"/>
        <v>0.69779160066705015</v>
      </c>
    </row>
    <row r="185">
      <c r="A185" s="2" t="s">
        <v>128</v>
      </c>
      <c r="B185" s="2">
        <v>9.5</v>
      </c>
      <c r="C185" s="2">
        <v>0.5</v>
      </c>
      <c r="D185" s="2">
        <f t="shared" si="19"/>
        <v>10</v>
      </c>
      <c r="E185" s="1">
        <f t="shared" si="25"/>
        <v>0.69779160066705015</v>
      </c>
      <c r="F185" s="1">
        <f t="shared" si="26"/>
        <v>0.66290202063369763</v>
      </c>
    </row>
    <row r="186">
      <c r="A186" s="2" t="s">
        <v>129</v>
      </c>
      <c r="B186" s="2">
        <v>9.5</v>
      </c>
      <c r="C186" s="2">
        <v>0.5</v>
      </c>
      <c r="D186" s="2">
        <f t="shared" si="19"/>
        <v>10</v>
      </c>
      <c r="E186" s="1">
        <f t="shared" si="25"/>
        <v>0.66290202063369763</v>
      </c>
      <c r="F186" s="1">
        <f t="shared" si="26"/>
        <v>0.62975691960201274</v>
      </c>
    </row>
    <row r="187">
      <c r="A187" s="2" t="s">
        <v>130</v>
      </c>
      <c r="B187" s="2">
        <v>9.5</v>
      </c>
      <c r="C187" s="2">
        <v>0.5</v>
      </c>
      <c r="D187" s="2">
        <f t="shared" si="19"/>
        <v>10</v>
      </c>
      <c r="E187" s="1">
        <f t="shared" si="25"/>
        <v>0.62975691960201274</v>
      </c>
      <c r="F187" s="1">
        <f t="shared" si="26"/>
        <v>0.59826907362191206</v>
      </c>
    </row>
    <row r="188">
      <c r="A188" s="2" t="s">
        <v>131</v>
      </c>
      <c r="B188" s="2">
        <v>9.5</v>
      </c>
      <c r="C188" s="2">
        <v>0.5</v>
      </c>
      <c r="D188" s="2">
        <f t="shared" si="19"/>
        <v>10</v>
      </c>
      <c r="E188" s="1">
        <f t="shared" si="25"/>
        <v>0.59826907362191206</v>
      </c>
      <c r="F188" s="1">
        <f t="shared" si="26"/>
        <v>0.56835561994081651</v>
      </c>
    </row>
    <row r="189">
      <c r="A189" s="2" t="s">
        <v>132</v>
      </c>
      <c r="B189" s="2">
        <v>9.5</v>
      </c>
      <c r="C189" s="2">
        <v>0.5</v>
      </c>
      <c r="D189" s="2">
        <f t="shared" si="19"/>
        <v>10</v>
      </c>
      <c r="E189" s="1">
        <f t="shared" si="25"/>
        <v>0.56835561994081651</v>
      </c>
      <c r="F189" s="1">
        <f t="shared" si="26"/>
        <v>0.53993783894377567</v>
      </c>
    </row>
    <row r="190">
      <c r="A190" s="2" t="s">
        <v>133</v>
      </c>
      <c r="B190" s="2">
        <v>9.5</v>
      </c>
      <c r="C190" s="2">
        <v>0.5</v>
      </c>
      <c r="D190" s="2">
        <f t="shared" ref="D190:D224" si="27">B190+C190</f>
        <v>10</v>
      </c>
      <c r="E190" s="1">
        <f t="shared" si="25"/>
        <v>0.53993783894377567</v>
      </c>
      <c r="F190" s="1">
        <f t="shared" si="26"/>
        <v>0.51294094699658688</v>
      </c>
    </row>
    <row r="191">
      <c r="A191" s="2" t="s">
        <v>134</v>
      </c>
      <c r="B191" s="2">
        <v>9.5</v>
      </c>
      <c r="C191" s="2">
        <v>0.5</v>
      </c>
      <c r="D191" s="2">
        <f t="shared" si="27"/>
        <v>10</v>
      </c>
      <c r="E191" s="1">
        <f t="shared" si="25"/>
        <v>0.51294094699658688</v>
      </c>
      <c r="F191" s="1">
        <f t="shared" si="26"/>
        <v>0.48729389964675757</v>
      </c>
    </row>
    <row r="192">
      <c r="A192" s="2" t="s">
        <v>135</v>
      </c>
      <c r="B192" s="2">
        <v>9.5</v>
      </c>
      <c r="C192" s="2">
        <v>0.5</v>
      </c>
      <c r="D192" s="2">
        <f t="shared" si="27"/>
        <v>10</v>
      </c>
      <c r="E192" s="1">
        <f t="shared" si="25"/>
        <v>0.48729389964675757</v>
      </c>
      <c r="F192" s="1">
        <f t="shared" si="26"/>
        <v>0.46292920466441967</v>
      </c>
    </row>
    <row r="193">
      <c r="A193" s="2" t="s">
        <v>136</v>
      </c>
      <c r="B193" s="2">
        <v>9.5</v>
      </c>
      <c r="C193" s="2">
        <v>0.5</v>
      </c>
      <c r="D193" s="2">
        <f t="shared" si="27"/>
        <v>10</v>
      </c>
      <c r="E193" s="1">
        <f t="shared" si="25"/>
        <v>0.46292920466441967</v>
      </c>
      <c r="F193" s="1">
        <f t="shared" si="26"/>
        <v>0.43978274443119869</v>
      </c>
    </row>
    <row r="194">
      <c r="A194" s="2" t="s">
        <v>137</v>
      </c>
      <c r="B194" s="2">
        <v>9.5</v>
      </c>
      <c r="C194" s="2">
        <v>0.5</v>
      </c>
      <c r="D194" s="2">
        <f t="shared" si="27"/>
        <v>10</v>
      </c>
      <c r="E194" s="1">
        <f t="shared" si="25"/>
        <v>0.43978274443119869</v>
      </c>
      <c r="F194" s="1">
        <f t="shared" si="26"/>
        <v>0.41779360720963876</v>
      </c>
    </row>
    <row r="195">
      <c r="A195" s="2" t="s">
        <v>138</v>
      </c>
      <c r="B195" s="2">
        <v>9.5</v>
      </c>
      <c r="C195" s="2">
        <v>0.5</v>
      </c>
      <c r="D195" s="2">
        <f t="shared" si="27"/>
        <v>10</v>
      </c>
      <c r="E195" s="1">
        <f t="shared" si="25"/>
        <v>0.41779360720963876</v>
      </c>
      <c r="F195" s="1">
        <f t="shared" si="26"/>
        <v>0.39690392684915682</v>
      </c>
    </row>
    <row r="196">
      <c r="A196" s="2" t="s">
        <v>139</v>
      </c>
      <c r="B196" s="2">
        <v>9.5</v>
      </c>
      <c r="C196" s="2">
        <v>0.5</v>
      </c>
      <c r="D196" s="2">
        <f t="shared" si="27"/>
        <v>10</v>
      </c>
      <c r="E196" s="1">
        <f t="shared" si="25"/>
        <v>0.39690392684915682</v>
      </c>
      <c r="F196" s="1">
        <f t="shared" si="26"/>
        <v>0.37705873050669897</v>
      </c>
    </row>
    <row r="197">
      <c r="A197" s="2" t="s">
        <v>140</v>
      </c>
      <c r="B197" s="2">
        <v>9.5</v>
      </c>
      <c r="C197" s="2">
        <v>0.5</v>
      </c>
      <c r="D197" s="2">
        <f t="shared" si="27"/>
        <v>10</v>
      </c>
      <c r="E197" s="1">
        <f t="shared" si="25"/>
        <v>0.37705873050669897</v>
      </c>
      <c r="F197" s="1">
        <f t="shared" si="26"/>
        <v>0.35820579398136398</v>
      </c>
    </row>
    <row r="198">
      <c r="A198" s="2" t="s">
        <v>141</v>
      </c>
      <c r="B198" s="2">
        <v>9.5</v>
      </c>
      <c r="C198" s="2">
        <v>0.5</v>
      </c>
      <c r="D198" s="2">
        <f t="shared" si="27"/>
        <v>10</v>
      </c>
      <c r="E198" s="1">
        <f t="shared" si="25"/>
        <v>0.35820579398136398</v>
      </c>
      <c r="F198" s="1">
        <f t="shared" si="26"/>
        <v>0.34029550428229582</v>
      </c>
    </row>
    <row r="199">
      <c r="A199" s="2" t="s">
        <v>142</v>
      </c>
      <c r="B199" s="2">
        <v>9.5</v>
      </c>
      <c r="C199" s="2">
        <v>0.5</v>
      </c>
      <c r="D199" s="2">
        <f t="shared" si="27"/>
        <v>10</v>
      </c>
      <c r="E199" s="1">
        <f t="shared" si="25"/>
        <v>0.34029550428229582</v>
      </c>
      <c r="F199" s="1">
        <f t="shared" si="26"/>
        <v>0.32328072906818106</v>
      </c>
    </row>
    <row r="200">
      <c r="A200" s="2" t="s">
        <v>162</v>
      </c>
      <c r="B200" s="2">
        <v>9.5</v>
      </c>
      <c r="C200" s="2">
        <v>0.5</v>
      </c>
      <c r="D200" s="2">
        <f t="shared" si="27"/>
        <v>10</v>
      </c>
      <c r="E200" s="1">
        <f t="shared" si="25"/>
        <v>0.32328072906818106</v>
      </c>
      <c r="F200" s="1">
        <f t="shared" si="26"/>
        <v>0.30711669261477204</v>
      </c>
    </row>
    <row r="201">
      <c r="A201" s="2" t="s">
        <v>163</v>
      </c>
      <c r="B201" s="2">
        <v>9.5</v>
      </c>
      <c r="C201" s="2">
        <v>0.5</v>
      </c>
      <c r="D201" s="2">
        <f t="shared" si="27"/>
        <v>10</v>
      </c>
      <c r="E201" s="1">
        <f t="shared" si="25"/>
        <v>0.30711669261477204</v>
      </c>
      <c r="F201" s="1">
        <f t="shared" si="26"/>
        <v>0.29176085798403345</v>
      </c>
    </row>
    <row r="202">
      <c r="A202" s="2" t="s">
        <v>164</v>
      </c>
      <c r="B202" s="2">
        <v>9.5</v>
      </c>
      <c r="C202" s="2">
        <v>0.5</v>
      </c>
      <c r="D202" s="2">
        <f t="shared" si="27"/>
        <v>10</v>
      </c>
      <c r="E202" s="1">
        <f t="shared" si="25"/>
        <v>0.29176085798403345</v>
      </c>
      <c r="F202" s="1">
        <f t="shared" si="26"/>
        <v>0.27717281508483177</v>
      </c>
    </row>
    <row r="203">
      <c r="A203" s="2" t="s">
        <v>165</v>
      </c>
      <c r="B203" s="2">
        <v>9.5</v>
      </c>
      <c r="C203" s="2">
        <v>0.5</v>
      </c>
      <c r="D203" s="2">
        <f t="shared" si="27"/>
        <v>10</v>
      </c>
      <c r="E203" s="1">
        <f t="shared" si="25"/>
        <v>0.27717281508483177</v>
      </c>
      <c r="F203" s="1">
        <f t="shared" si="26"/>
        <v>0.26331417433059018</v>
      </c>
    </row>
    <row r="204">
      <c r="A204" s="2" t="s">
        <v>166</v>
      </c>
      <c r="B204" s="2">
        <v>9.5</v>
      </c>
      <c r="C204" s="2">
        <v>0.5</v>
      </c>
      <c r="D204" s="2">
        <f t="shared" si="27"/>
        <v>10</v>
      </c>
      <c r="E204" s="1">
        <f t="shared" si="25"/>
        <v>0.26331417433059018</v>
      </c>
      <c r="F204" s="1">
        <f t="shared" si="26"/>
        <v>0.25014846561406068</v>
      </c>
    </row>
    <row r="205">
      <c r="A205" s="2" t="s">
        <v>167</v>
      </c>
      <c r="B205" s="2">
        <v>9.5</v>
      </c>
      <c r="C205" s="2">
        <v>0.5</v>
      </c>
      <c r="D205" s="2">
        <f t="shared" si="27"/>
        <v>10</v>
      </c>
      <c r="E205" s="1">
        <f t="shared" si="25"/>
        <v>0.25014846561406068</v>
      </c>
      <c r="F205" s="1">
        <f t="shared" si="26"/>
        <v>0.23764104233335764</v>
      </c>
    </row>
    <row r="206">
      <c r="A206" s="2" t="s">
        <v>168</v>
      </c>
      <c r="B206" s="2">
        <v>9.5</v>
      </c>
      <c r="C206" s="2">
        <v>0.5</v>
      </c>
      <c r="D206" s="2">
        <f t="shared" si="27"/>
        <v>10</v>
      </c>
      <c r="E206" s="1">
        <f t="shared" si="25"/>
        <v>0.23764104233335764</v>
      </c>
      <c r="F206" s="1">
        <f t="shared" si="26"/>
        <v>0.22575899021668974</v>
      </c>
    </row>
    <row r="207">
      <c r="A207" s="2" t="s">
        <v>169</v>
      </c>
      <c r="B207" s="2">
        <v>9.5</v>
      </c>
      <c r="C207" s="2">
        <v>0.5</v>
      </c>
      <c r="D207" s="2">
        <f t="shared" si="27"/>
        <v>10</v>
      </c>
      <c r="E207" s="1">
        <f t="shared" si="25"/>
        <v>0.22575899021668974</v>
      </c>
      <c r="F207" s="1">
        <f t="shared" si="26"/>
        <v>0.21447104070585526</v>
      </c>
    </row>
    <row r="208">
      <c r="A208" s="2" t="s">
        <v>170</v>
      </c>
      <c r="B208" s="2">
        <v>9.5</v>
      </c>
      <c r="C208" s="2">
        <v>0.5</v>
      </c>
      <c r="D208" s="2">
        <f t="shared" si="27"/>
        <v>10</v>
      </c>
      <c r="E208" s="1">
        <f t="shared" si="25"/>
        <v>0.21447104070585526</v>
      </c>
      <c r="F208" s="1">
        <f t="shared" si="26"/>
        <v>0.2037474886705625</v>
      </c>
    </row>
    <row r="209">
      <c r="A209" s="2" t="s">
        <v>171</v>
      </c>
      <c r="B209" s="2">
        <v>9.5</v>
      </c>
      <c r="C209" s="2">
        <v>0.5</v>
      </c>
      <c r="D209" s="2">
        <f t="shared" si="27"/>
        <v>10</v>
      </c>
      <c r="E209" s="1">
        <f t="shared" si="25"/>
        <v>0.2037474886705625</v>
      </c>
      <c r="F209" s="1">
        <f t="shared" si="26"/>
        <v>0.19356011423703437</v>
      </c>
    </row>
    <row r="210">
      <c r="A210" s="2" t="s">
        <v>172</v>
      </c>
      <c r="B210" s="2">
        <v>9.5</v>
      </c>
      <c r="C210" s="2">
        <v>0.5</v>
      </c>
      <c r="D210" s="2">
        <f t="shared" si="27"/>
        <v>10</v>
      </c>
      <c r="E210" s="1">
        <f t="shared" si="25"/>
        <v>0.19356011423703437</v>
      </c>
      <c r="F210" s="1">
        <f t="shared" si="26"/>
        <v>0.18388210852518266</v>
      </c>
    </row>
    <row r="211">
      <c r="A211" s="2" t="s">
        <v>173</v>
      </c>
      <c r="B211" s="2">
        <v>9.5</v>
      </c>
      <c r="C211" s="2">
        <v>0.5</v>
      </c>
      <c r="D211" s="2">
        <f t="shared" si="27"/>
        <v>10</v>
      </c>
      <c r="E211" s="1">
        <f t="shared" si="25"/>
        <v>0.18388210852518266</v>
      </c>
      <c r="F211" s="1">
        <f t="shared" si="26"/>
        <v>0.17468800309892354</v>
      </c>
    </row>
    <row r="212">
      <c r="A212" s="2" t="s">
        <v>174</v>
      </c>
      <c r="B212" s="2">
        <v>9.5</v>
      </c>
      <c r="C212" s="2">
        <v>0.5</v>
      </c>
      <c r="D212" s="2">
        <f t="shared" si="27"/>
        <v>10</v>
      </c>
      <c r="E212" s="1">
        <f t="shared" si="25"/>
        <v>0.17468800309892354</v>
      </c>
      <c r="F212" s="1">
        <f t="shared" si="26"/>
        <v>0.16595360294397737</v>
      </c>
    </row>
    <row r="213">
      <c r="A213" s="2" t="s">
        <v>175</v>
      </c>
      <c r="B213" s="2">
        <v>9.5</v>
      </c>
      <c r="C213" s="2">
        <v>0.5</v>
      </c>
      <c r="D213" s="2">
        <f t="shared" si="27"/>
        <v>10</v>
      </c>
      <c r="E213" s="1">
        <f t="shared" si="25"/>
        <v>0.16595360294397737</v>
      </c>
      <c r="F213" s="1">
        <f t="shared" si="26"/>
        <v>0.15765592279677851</v>
      </c>
    </row>
    <row r="214">
      <c r="A214" s="2" t="s">
        <v>176</v>
      </c>
      <c r="B214" s="2">
        <v>9.5</v>
      </c>
      <c r="C214" s="2">
        <v>0.5</v>
      </c>
      <c r="D214" s="2">
        <f t="shared" si="27"/>
        <v>10</v>
      </c>
      <c r="E214" s="1">
        <f t="shared" ref="E214:E224" si="28">F213</f>
        <v>0.15765592279677851</v>
      </c>
      <c r="F214" s="1">
        <f t="shared" si="26"/>
        <v>0.14977312665693959</v>
      </c>
    </row>
    <row r="215">
      <c r="A215" s="2" t="s">
        <v>177</v>
      </c>
      <c r="B215" s="2">
        <v>9.5</v>
      </c>
      <c r="C215" s="2">
        <v>0.5</v>
      </c>
      <c r="D215" s="2">
        <f t="shared" si="27"/>
        <v>10</v>
      </c>
      <c r="E215" s="1">
        <f t="shared" si="28"/>
        <v>0.14977312665693959</v>
      </c>
      <c r="F215" s="1">
        <f t="shared" si="26"/>
        <v>0.14228447032409261</v>
      </c>
    </row>
    <row r="216">
      <c r="A216" s="2" t="s">
        <v>178</v>
      </c>
      <c r="B216" s="2">
        <v>9.5</v>
      </c>
      <c r="C216" s="2">
        <v>0.5</v>
      </c>
      <c r="D216" s="2">
        <f t="shared" si="27"/>
        <v>10</v>
      </c>
      <c r="E216" s="1">
        <f t="shared" si="28"/>
        <v>0.14228447032409261</v>
      </c>
      <c r="F216" s="1">
        <f t="shared" si="26"/>
        <v>0.13517024680788797</v>
      </c>
    </row>
    <row r="217">
      <c r="A217" s="2" t="s">
        <v>179</v>
      </c>
      <c r="B217" s="2">
        <v>9.5</v>
      </c>
      <c r="C217" s="2">
        <v>0.5</v>
      </c>
      <c r="D217" s="2">
        <f t="shared" si="27"/>
        <v>10</v>
      </c>
      <c r="E217" s="1">
        <f t="shared" si="28"/>
        <v>0.13517024680788797</v>
      </c>
      <c r="F217" s="1">
        <f t="shared" si="26"/>
        <v>0.12841173446749357</v>
      </c>
    </row>
    <row r="218">
      <c r="A218" s="2" t="s">
        <v>180</v>
      </c>
      <c r="B218" s="2">
        <v>9.5</v>
      </c>
      <c r="C218" s="2">
        <v>0.5</v>
      </c>
      <c r="D218" s="2">
        <f t="shared" si="27"/>
        <v>10</v>
      </c>
      <c r="E218" s="1">
        <f t="shared" si="28"/>
        <v>0.12841173446749357</v>
      </c>
      <c r="F218" s="1">
        <f t="shared" si="26"/>
        <v>0.1219911477441189</v>
      </c>
    </row>
    <row r="219">
      <c r="A219" s="2" t="s">
        <v>181</v>
      </c>
      <c r="B219" s="2">
        <v>9.5</v>
      </c>
      <c r="C219" s="2">
        <v>0.5</v>
      </c>
      <c r="D219" s="2">
        <f t="shared" si="27"/>
        <v>10</v>
      </c>
      <c r="E219" s="1">
        <f t="shared" si="28"/>
        <v>0.1219911477441189</v>
      </c>
      <c r="F219" s="1">
        <f t="shared" ref="F219:F224" si="29">(E219*B219)/D219</f>
        <v>0.11589159035691296</v>
      </c>
    </row>
    <row r="220">
      <c r="A220" s="2" t="s">
        <v>182</v>
      </c>
      <c r="B220" s="2">
        <v>9.5</v>
      </c>
      <c r="C220" s="2">
        <v>0.5</v>
      </c>
      <c r="D220" s="2">
        <f t="shared" si="27"/>
        <v>10</v>
      </c>
      <c r="E220" s="1">
        <f t="shared" si="28"/>
        <v>0.11589159035691296</v>
      </c>
      <c r="F220" s="1">
        <f t="shared" si="29"/>
        <v>0.11009701083906731</v>
      </c>
    </row>
    <row r="221">
      <c r="A221" s="2" t="s">
        <v>183</v>
      </c>
      <c r="B221" s="2">
        <v>9.5</v>
      </c>
      <c r="C221" s="2">
        <v>0.5</v>
      </c>
      <c r="D221" s="2">
        <f t="shared" si="27"/>
        <v>10</v>
      </c>
      <c r="E221" s="1">
        <f t="shared" si="28"/>
        <v>0.11009701083906731</v>
      </c>
      <c r="F221" s="1">
        <f t="shared" si="29"/>
        <v>0.10459216029711396</v>
      </c>
    </row>
    <row r="222">
      <c r="A222" s="2" t="s">
        <v>184</v>
      </c>
      <c r="B222" s="2">
        <v>9.5</v>
      </c>
      <c r="C222" s="2">
        <v>0.5</v>
      </c>
      <c r="D222" s="2">
        <f t="shared" si="27"/>
        <v>10</v>
      </c>
      <c r="E222" s="1">
        <f t="shared" si="28"/>
        <v>0.10459216029711396</v>
      </c>
      <c r="F222" s="1">
        <f t="shared" si="29"/>
        <v>9.9362552282258265e-002</v>
      </c>
    </row>
    <row r="223">
      <c r="A223" s="2" t="s">
        <v>185</v>
      </c>
      <c r="B223" s="2">
        <v>9.5</v>
      </c>
      <c r="C223" s="2">
        <v>0.5</v>
      </c>
      <c r="D223" s="2">
        <f t="shared" si="27"/>
        <v>10</v>
      </c>
      <c r="E223" s="1">
        <f t="shared" si="28"/>
        <v>9.9362552282258265e-002</v>
      </c>
      <c r="F223" s="1">
        <f t="shared" si="29"/>
        <v>9.4394424668145349e-002</v>
      </c>
    </row>
    <row r="224">
      <c r="A224" s="2" t="s">
        <v>186</v>
      </c>
      <c r="B224" s="2">
        <v>9.5</v>
      </c>
      <c r="C224" s="2">
        <v>0.5</v>
      </c>
      <c r="D224" s="2">
        <f t="shared" si="27"/>
        <v>10</v>
      </c>
      <c r="E224" s="1">
        <f t="shared" si="28"/>
        <v>9.4394424668145349e-002</v>
      </c>
      <c r="F224" s="1">
        <f t="shared" si="29"/>
        <v>8.9674703434738073e-002</v>
      </c>
    </row>
  </sheetData>
  <pageMargins left="0.69999999999999996" right="0.69999999999999996" top="0.75" bottom="0.75" header="0.29999999999999999" footer="0.29999999999999999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19" workbookViewId="0">
      <selection activeCell="G11" sqref="G11"/>
    </sheetView>
  </sheetViews>
  <sheetFormatPr defaultRowHeight="14.4"/>
  <sheetData>
    <row r="1">
      <c r="C1" s="2"/>
      <c r="D1" s="2" t="s">
        <v>145</v>
      </c>
      <c r="E1" s="2" t="s">
        <v>144</v>
      </c>
      <c r="F1" s="2"/>
      <c r="G1" s="2"/>
      <c r="H1" s="2" t="s">
        <v>145</v>
      </c>
      <c r="I1" s="2" t="s">
        <v>146</v>
      </c>
      <c r="N1">
        <v>5.1913999999999998</v>
      </c>
      <c r="P1" t="s">
        <v>199</v>
      </c>
      <c r="Q1">
        <v>1.414e-002</v>
      </c>
    </row>
    <row r="2">
      <c r="C2" s="2" t="s">
        <v>58</v>
      </c>
      <c r="D2" s="1">
        <v>0.41199999999999998</v>
      </c>
      <c r="E2" s="1">
        <v>1.1890000000000001</v>
      </c>
      <c r="F2" s="2"/>
      <c r="G2" s="2" t="s">
        <v>59</v>
      </c>
      <c r="H2" s="1">
        <f>(12.25*D2) - (2.55*D3)</f>
        <v>4.5548500000000001</v>
      </c>
      <c r="I2" s="1">
        <f>(12.25*E2) - (2.55*E3)</f>
        <v>13.162750000000001</v>
      </c>
      <c r="N2">
        <v>2.20112</v>
      </c>
      <c r="P2" t="s">
        <v>200</v>
      </c>
      <c r="Q2">
        <v>7.1799999999999998e-003</v>
      </c>
    </row>
    <row r="3">
      <c r="C3" s="2" t="s">
        <v>34</v>
      </c>
      <c r="D3" s="1">
        <v>0.193</v>
      </c>
      <c r="E3" s="1">
        <v>0.55000000000000004</v>
      </c>
      <c r="F3" s="2"/>
      <c r="G3" s="2" t="s">
        <v>60</v>
      </c>
      <c r="H3" s="1">
        <f>(20.31*D3)-(4.91*D2)</f>
        <v>1.8969099999999997</v>
      </c>
      <c r="I3" s="1">
        <f>(20.31*E3)-(4.91*E2)</f>
        <v>5.3325100000000001</v>
      </c>
      <c r="P3" t="s">
        <v>201</v>
      </c>
    </row>
    <row r="5">
      <c r="A5" s="2" t="s">
        <v>60</v>
      </c>
      <c r="B5" s="2"/>
      <c r="C5" s="2"/>
      <c r="D5" s="2"/>
      <c r="E5" s="2"/>
      <c r="F5" s="2"/>
      <c r="J5" s="2" t="s">
        <v>59</v>
      </c>
      <c r="K5" s="2"/>
      <c r="L5" s="2"/>
      <c r="M5" s="2"/>
      <c r="N5" s="2"/>
      <c r="O5" s="2"/>
    </row>
    <row r="6">
      <c r="A6" s="19"/>
      <c r="B6" s="19" t="s">
        <v>61</v>
      </c>
      <c r="C6" s="19" t="s">
        <v>62</v>
      </c>
      <c r="D6" s="19" t="s">
        <v>63</v>
      </c>
      <c r="E6" s="19" t="s">
        <v>64</v>
      </c>
      <c r="F6" s="19" t="s">
        <v>65</v>
      </c>
      <c r="H6" s="16" t="s">
        <v>198</v>
      </c>
      <c r="J6" s="19"/>
      <c r="K6" s="19" t="s">
        <v>61</v>
      </c>
      <c r="L6" s="19" t="s">
        <v>62</v>
      </c>
      <c r="M6" s="19" t="s">
        <v>63</v>
      </c>
      <c r="N6" s="19" t="s">
        <v>64</v>
      </c>
      <c r="O6" s="19" t="s">
        <v>65</v>
      </c>
      <c r="P6" s="20"/>
      <c r="Q6" s="16" t="s">
        <v>198</v>
      </c>
    </row>
    <row r="7">
      <c r="A7" s="19" t="s">
        <v>68</v>
      </c>
      <c r="B7" s="19">
        <v>2</v>
      </c>
      <c r="C7" s="19">
        <v>0</v>
      </c>
      <c r="D7" s="19">
        <f>B7+C7</f>
        <v>2</v>
      </c>
      <c r="E7" s="21">
        <f>H3</f>
        <v>1.8969099999999997</v>
      </c>
      <c r="F7" s="21">
        <f>(E7*B7)/D7</f>
        <v>1.8969099999999997</v>
      </c>
      <c r="G7">
        <v>3000</v>
      </c>
      <c r="H7" s="17">
        <f>E7-F7</f>
        <v>0</v>
      </c>
      <c r="J7" s="19" t="s">
        <v>68</v>
      </c>
      <c r="K7" s="19">
        <v>3</v>
      </c>
      <c r="L7" s="19">
        <v>0</v>
      </c>
      <c r="M7" s="19">
        <f>K7+L7</f>
        <v>3</v>
      </c>
      <c r="N7" s="21">
        <f>H2</f>
        <v>4.5548500000000001</v>
      </c>
      <c r="O7" s="21">
        <f>(N7*K7)/M7</f>
        <v>4.5548500000000001</v>
      </c>
      <c r="P7" s="20">
        <v>700</v>
      </c>
      <c r="Q7" s="17">
        <f>N7-O7</f>
        <v>0</v>
      </c>
    </row>
    <row r="8">
      <c r="A8" s="19" t="s">
        <v>69</v>
      </c>
      <c r="B8" s="19">
        <f>B7</f>
        <v>2</v>
      </c>
      <c r="C8" s="19">
        <v>0.5</v>
      </c>
      <c r="D8" s="19">
        <f t="shared" ref="D8:D17" si="0">B8+C8</f>
        <v>2.5</v>
      </c>
      <c r="E8" s="21">
        <f>F7</f>
        <v>1.8969099999999997</v>
      </c>
      <c r="F8" s="21">
        <f t="shared" ref="F8:F28" si="1">(E8*B8)/D8</f>
        <v>1.5175279999999998</v>
      </c>
      <c r="H8" s="17">
        <f t="shared" ref="H8:H36" si="2">E8-F8</f>
        <v>0.37938199999999989</v>
      </c>
      <c r="J8" s="19" t="s">
        <v>69</v>
      </c>
      <c r="K8" s="19">
        <f>K7</f>
        <v>3</v>
      </c>
      <c r="L8" s="19">
        <v>0.5</v>
      </c>
      <c r="M8" s="19">
        <f t="shared" ref="M8:M17" si="3">K8+L8</f>
        <v>3.5</v>
      </c>
      <c r="N8" s="21">
        <f>O7</f>
        <v>4.5548500000000001</v>
      </c>
      <c r="O8" s="21">
        <f t="shared" ref="O8:O14" si="4">(N8*K8)/M8</f>
        <v>3.9041571428571431</v>
      </c>
      <c r="P8" s="20"/>
      <c r="Q8" s="17">
        <f t="shared" ref="Q8:Q17" si="5">N8-O8</f>
        <v>0.65069285714285696</v>
      </c>
    </row>
    <row r="9">
      <c r="A9" s="19" t="s">
        <v>70</v>
      </c>
      <c r="B9" s="19">
        <v>2.5</v>
      </c>
      <c r="C9" s="19">
        <v>0.5</v>
      </c>
      <c r="D9" s="19">
        <f t="shared" si="0"/>
        <v>3</v>
      </c>
      <c r="E9" s="21">
        <f t="shared" ref="E9:E27" si="6">F8</f>
        <v>1.5175279999999998</v>
      </c>
      <c r="F9" s="21">
        <f t="shared" si="1"/>
        <v>1.2646066666666664</v>
      </c>
      <c r="H9" s="17">
        <f t="shared" si="2"/>
        <v>0.25292133333333333</v>
      </c>
      <c r="J9" s="19" t="s">
        <v>70</v>
      </c>
      <c r="K9" s="19">
        <f t="shared" ref="K9:K17" si="7">K8</f>
        <v>3</v>
      </c>
      <c r="L9" s="19">
        <v>0.5</v>
      </c>
      <c r="M9" s="19">
        <f t="shared" si="3"/>
        <v>3.5</v>
      </c>
      <c r="N9" s="21">
        <f t="shared" ref="N9:N17" si="8">O8</f>
        <v>3.9041571428571431</v>
      </c>
      <c r="O9" s="21">
        <f t="shared" si="4"/>
        <v>3.3464204081632656</v>
      </c>
      <c r="P9" s="20">
        <v>500</v>
      </c>
      <c r="Q9" s="17">
        <f t="shared" si="5"/>
        <v>0.55773673469387752</v>
      </c>
    </row>
    <row r="10">
      <c r="A10" s="19" t="s">
        <v>71</v>
      </c>
      <c r="B10" s="19">
        <v>3</v>
      </c>
      <c r="C10" s="19">
        <v>0.5</v>
      </c>
      <c r="D10" s="19">
        <f t="shared" si="0"/>
        <v>3.5</v>
      </c>
      <c r="E10" s="21">
        <f t="shared" si="6"/>
        <v>1.2646066666666664</v>
      </c>
      <c r="F10" s="21">
        <f t="shared" si="1"/>
        <v>1.0839485714285713</v>
      </c>
      <c r="H10" s="17">
        <f t="shared" si="2"/>
        <v>0.18065809523809517</v>
      </c>
      <c r="J10" s="19" t="s">
        <v>71</v>
      </c>
      <c r="K10" s="19">
        <f t="shared" si="7"/>
        <v>3</v>
      </c>
      <c r="L10" s="19">
        <v>0.5</v>
      </c>
      <c r="M10" s="19">
        <f t="shared" si="3"/>
        <v>3.5</v>
      </c>
      <c r="N10" s="21">
        <f t="shared" si="8"/>
        <v>3.3464204081632656</v>
      </c>
      <c r="O10" s="21">
        <f t="shared" si="4"/>
        <v>2.8683603498542278</v>
      </c>
      <c r="P10" s="20"/>
      <c r="Q10" s="17">
        <f t="shared" si="5"/>
        <v>0.47806005830903775</v>
      </c>
    </row>
    <row r="11">
      <c r="A11" s="19" t="s">
        <v>72</v>
      </c>
      <c r="B11" s="19">
        <v>3.5</v>
      </c>
      <c r="C11" s="19">
        <v>0.5</v>
      </c>
      <c r="D11" s="19">
        <f t="shared" si="0"/>
        <v>4</v>
      </c>
      <c r="E11" s="21">
        <f t="shared" si="6"/>
        <v>1.0839485714285713</v>
      </c>
      <c r="F11" s="21">
        <f t="shared" si="1"/>
        <v>0.94845499999999983</v>
      </c>
      <c r="H11" s="17">
        <f t="shared" si="2"/>
        <v>0.13549357142857144</v>
      </c>
      <c r="J11" s="19" t="s">
        <v>72</v>
      </c>
      <c r="K11" s="19">
        <f t="shared" si="7"/>
        <v>3</v>
      </c>
      <c r="L11" s="19">
        <v>0.5</v>
      </c>
      <c r="M11" s="19">
        <f t="shared" si="3"/>
        <v>3.5</v>
      </c>
      <c r="N11" s="21">
        <f t="shared" si="8"/>
        <v>2.8683603498542278</v>
      </c>
      <c r="O11" s="21">
        <f t="shared" si="4"/>
        <v>2.4585945855893381</v>
      </c>
      <c r="P11" s="20"/>
      <c r="Q11" s="17">
        <f t="shared" si="5"/>
        <v>0.40976576426488975</v>
      </c>
    </row>
    <row r="12">
      <c r="A12" s="19" t="s">
        <v>73</v>
      </c>
      <c r="B12" s="19">
        <v>4</v>
      </c>
      <c r="C12" s="19">
        <v>0.5</v>
      </c>
      <c r="D12" s="19">
        <f t="shared" si="0"/>
        <v>4.5</v>
      </c>
      <c r="E12" s="21">
        <f t="shared" si="6"/>
        <v>0.94845499999999983</v>
      </c>
      <c r="F12" s="21">
        <f t="shared" si="1"/>
        <v>0.84307111111111099</v>
      </c>
      <c r="H12" s="17">
        <f t="shared" si="2"/>
        <v>0.10538388888888883</v>
      </c>
      <c r="J12" s="19" t="s">
        <v>73</v>
      </c>
      <c r="K12" s="19">
        <f t="shared" si="7"/>
        <v>3</v>
      </c>
      <c r="L12" s="19">
        <v>0.5</v>
      </c>
      <c r="M12" s="19">
        <f t="shared" si="3"/>
        <v>3.5</v>
      </c>
      <c r="N12" s="21">
        <f t="shared" si="8"/>
        <v>2.4585945855893381</v>
      </c>
      <c r="O12" s="21">
        <f t="shared" si="4"/>
        <v>2.107366787648004</v>
      </c>
      <c r="P12" s="20"/>
      <c r="Q12" s="17">
        <f t="shared" si="5"/>
        <v>0.35122779794133407</v>
      </c>
    </row>
    <row r="13">
      <c r="A13" s="19" t="s">
        <v>74</v>
      </c>
      <c r="B13" s="19">
        <f t="shared" ref="B13:B17" si="9">B12</f>
        <v>4</v>
      </c>
      <c r="C13" s="19">
        <v>0.5</v>
      </c>
      <c r="D13" s="19">
        <f t="shared" si="0"/>
        <v>4.5</v>
      </c>
      <c r="E13" s="21">
        <f t="shared" si="6"/>
        <v>0.84307111111111099</v>
      </c>
      <c r="F13" s="21">
        <f t="shared" si="1"/>
        <v>0.74939654320987648</v>
      </c>
      <c r="H13" s="17">
        <f t="shared" si="2"/>
        <v>9.3674567901234518e-002</v>
      </c>
      <c r="J13" s="19" t="s">
        <v>74</v>
      </c>
      <c r="K13" s="19">
        <f t="shared" si="7"/>
        <v>3</v>
      </c>
      <c r="L13" s="19">
        <v>0.5</v>
      </c>
      <c r="M13" s="19">
        <f t="shared" si="3"/>
        <v>3.5</v>
      </c>
      <c r="N13" s="21">
        <f t="shared" si="8"/>
        <v>2.107366787648004</v>
      </c>
      <c r="O13" s="21">
        <f t="shared" si="4"/>
        <v>1.8063143894125748</v>
      </c>
      <c r="P13" s="20"/>
      <c r="Q13" s="17">
        <f t="shared" si="5"/>
        <v>0.30105239823542917</v>
      </c>
    </row>
    <row r="14">
      <c r="A14" s="19" t="s">
        <v>75</v>
      </c>
      <c r="B14" s="19">
        <f t="shared" si="9"/>
        <v>4</v>
      </c>
      <c r="C14" s="19">
        <v>0.5</v>
      </c>
      <c r="D14" s="19">
        <f t="shared" si="0"/>
        <v>4.5</v>
      </c>
      <c r="E14" s="21">
        <f t="shared" si="6"/>
        <v>0.74939654320987648</v>
      </c>
      <c r="F14" s="21">
        <f t="shared" si="1"/>
        <v>0.66613026063100134</v>
      </c>
      <c r="H14" s="17">
        <f t="shared" si="2"/>
        <v>8.3266282578875139e-002</v>
      </c>
      <c r="J14" s="19" t="s">
        <v>75</v>
      </c>
      <c r="K14" s="19">
        <f t="shared" si="7"/>
        <v>3</v>
      </c>
      <c r="L14" s="19">
        <v>0.5</v>
      </c>
      <c r="M14" s="19">
        <f t="shared" si="3"/>
        <v>3.5</v>
      </c>
      <c r="N14" s="21">
        <f t="shared" si="8"/>
        <v>1.8063143894125748</v>
      </c>
      <c r="O14" s="21">
        <f t="shared" si="4"/>
        <v>1.5482694766393499</v>
      </c>
      <c r="P14" s="20"/>
      <c r="Q14" s="17">
        <f t="shared" si="5"/>
        <v>0.25804491277322494</v>
      </c>
    </row>
    <row r="15">
      <c r="A15" s="19" t="s">
        <v>76</v>
      </c>
      <c r="B15" s="19">
        <f t="shared" si="9"/>
        <v>4</v>
      </c>
      <c r="C15" s="19">
        <v>0.5</v>
      </c>
      <c r="D15" s="19">
        <f t="shared" si="0"/>
        <v>4.5</v>
      </c>
      <c r="E15" s="21">
        <f t="shared" si="6"/>
        <v>0.66613026063100134</v>
      </c>
      <c r="F15" s="21">
        <f>(E15*B15)/D15</f>
        <v>0.59211578722755676</v>
      </c>
      <c r="H15" s="17">
        <f t="shared" si="2"/>
        <v>7.4014473403444581e-002</v>
      </c>
      <c r="J15" s="19" t="s">
        <v>76</v>
      </c>
      <c r="K15" s="19">
        <f t="shared" si="7"/>
        <v>3</v>
      </c>
      <c r="L15" s="19">
        <v>0.5</v>
      </c>
      <c r="M15" s="19">
        <f t="shared" si="3"/>
        <v>3.5</v>
      </c>
      <c r="N15" s="21">
        <f t="shared" si="8"/>
        <v>1.5482694766393499</v>
      </c>
      <c r="O15" s="21">
        <f>(N15*K15)/M15</f>
        <v>1.3270881228337286</v>
      </c>
      <c r="P15" s="20"/>
      <c r="Q15" s="17">
        <f t="shared" si="5"/>
        <v>0.22118135380562132</v>
      </c>
    </row>
    <row r="16">
      <c r="A16" s="19" t="s">
        <v>77</v>
      </c>
      <c r="B16" s="19">
        <v>2.5</v>
      </c>
      <c r="C16" s="19">
        <v>0.5</v>
      </c>
      <c r="D16" s="19">
        <f t="shared" si="0"/>
        <v>3</v>
      </c>
      <c r="E16" s="21">
        <f t="shared" si="6"/>
        <v>0.59211578722755676</v>
      </c>
      <c r="F16" s="21">
        <f t="shared" si="1"/>
        <v>0.49342982268963059</v>
      </c>
      <c r="H16" s="17">
        <f t="shared" si="2"/>
        <v>9.8685964537926163e-002</v>
      </c>
      <c r="J16" s="19" t="s">
        <v>77</v>
      </c>
      <c r="K16" s="19">
        <f t="shared" si="7"/>
        <v>3</v>
      </c>
      <c r="L16" s="19">
        <v>0.5</v>
      </c>
      <c r="M16" s="19">
        <f t="shared" si="3"/>
        <v>3.5</v>
      </c>
      <c r="N16" s="21">
        <f t="shared" si="8"/>
        <v>1.3270881228337286</v>
      </c>
      <c r="O16" s="21">
        <f t="shared" ref="O16:O18" si="10">(N16*K16)/M16</f>
        <v>1.1375041052860531</v>
      </c>
      <c r="P16" s="20"/>
      <c r="Q16" s="17">
        <f t="shared" si="5"/>
        <v>0.18958401754767551</v>
      </c>
    </row>
    <row r="17">
      <c r="A17" s="19" t="s">
        <v>78</v>
      </c>
      <c r="B17" s="19">
        <f t="shared" si="9"/>
        <v>2.5</v>
      </c>
      <c r="C17" s="19">
        <v>0.5</v>
      </c>
      <c r="D17" s="19">
        <f t="shared" si="0"/>
        <v>3</v>
      </c>
      <c r="E17" s="21">
        <f t="shared" si="6"/>
        <v>0.49342982268963059</v>
      </c>
      <c r="F17" s="21">
        <f t="shared" si="1"/>
        <v>0.41119151890802552</v>
      </c>
      <c r="H17" s="17">
        <f t="shared" si="2"/>
        <v>8.2238303781605071e-002</v>
      </c>
      <c r="J17" s="19" t="s">
        <v>78</v>
      </c>
      <c r="K17" s="19">
        <f t="shared" si="7"/>
        <v>3</v>
      </c>
      <c r="L17" s="19">
        <v>0.5</v>
      </c>
      <c r="M17" s="19">
        <f t="shared" si="3"/>
        <v>3.5</v>
      </c>
      <c r="N17" s="21">
        <f t="shared" si="8"/>
        <v>1.1375041052860531</v>
      </c>
      <c r="O17" s="21">
        <f t="shared" si="10"/>
        <v>0.97500351881661695</v>
      </c>
      <c r="P17" s="20"/>
      <c r="Q17" s="17">
        <f t="shared" si="5"/>
        <v>0.1625005864694361</v>
      </c>
    </row>
    <row r="18">
      <c r="A18" s="19" t="s">
        <v>79</v>
      </c>
      <c r="B18" s="19">
        <v>2</v>
      </c>
      <c r="C18" s="19">
        <v>0.5</v>
      </c>
      <c r="D18" s="19">
        <f>B18+C18</f>
        <v>2.5</v>
      </c>
      <c r="E18" s="21">
        <f>F17</f>
        <v>0.41119151890802552</v>
      </c>
      <c r="F18" s="21">
        <f t="shared" si="1"/>
        <v>0.3289532151264204</v>
      </c>
      <c r="H18" s="17">
        <f t="shared" si="2"/>
        <v>8.2238303781605127e-002</v>
      </c>
      <c r="J18" s="19" t="s">
        <v>79</v>
      </c>
      <c r="K18" s="19">
        <f t="shared" ref="K18:K36" si="11">K17</f>
        <v>3</v>
      </c>
      <c r="L18" s="19">
        <v>0.5</v>
      </c>
      <c r="M18" s="19">
        <f t="shared" ref="M18:M36" si="12">K18+L18</f>
        <v>3.5</v>
      </c>
      <c r="N18" s="21">
        <f t="shared" ref="N18:N36" si="13">O17</f>
        <v>0.97500351881661695</v>
      </c>
      <c r="O18" s="21">
        <f t="shared" si="10"/>
        <v>0.83571730184281456</v>
      </c>
      <c r="P18" s="20"/>
      <c r="Q18" s="17">
        <f t="shared" ref="Q18:Q36" si="14">N18-O18</f>
        <v>0.13928621697380239</v>
      </c>
    </row>
    <row r="19">
      <c r="A19" s="9" t="s">
        <v>80</v>
      </c>
      <c r="B19" s="9">
        <f>B18</f>
        <v>2</v>
      </c>
      <c r="C19" s="9">
        <v>0.5</v>
      </c>
      <c r="D19" s="9">
        <f t="shared" ref="D19:D27" si="15">B19+C19</f>
        <v>2.5</v>
      </c>
      <c r="E19" s="18">
        <f t="shared" si="6"/>
        <v>0.3289532151264204</v>
      </c>
      <c r="F19" s="18">
        <f t="shared" si="1"/>
        <v>0.26316257210113631</v>
      </c>
      <c r="H19" s="17">
        <f t="shared" si="2"/>
        <v>6.579064302528409e-002</v>
      </c>
      <c r="J19" s="9" t="s">
        <v>80</v>
      </c>
      <c r="K19" s="9">
        <v>1.5</v>
      </c>
      <c r="L19" s="9">
        <v>0.5</v>
      </c>
      <c r="M19" s="9">
        <f t="shared" si="12"/>
        <v>2</v>
      </c>
      <c r="N19" s="18">
        <f t="shared" si="13"/>
        <v>0.83571730184281456</v>
      </c>
      <c r="O19" s="18">
        <f t="shared" ref="O19:O36" si="16">(N19*K19)/M19</f>
        <v>0.62678797638211092</v>
      </c>
      <c r="Q19" s="17">
        <f t="shared" si="14"/>
        <v>0.20892932546070364</v>
      </c>
    </row>
    <row r="20">
      <c r="A20" s="9" t="s">
        <v>81</v>
      </c>
      <c r="B20" s="9">
        <f t="shared" ref="B20:B27" si="17">B19</f>
        <v>2</v>
      </c>
      <c r="C20" s="9">
        <v>0.5</v>
      </c>
      <c r="D20" s="9">
        <f t="shared" si="15"/>
        <v>2.5</v>
      </c>
      <c r="E20" s="18">
        <f t="shared" si="6"/>
        <v>0.26316257210113631</v>
      </c>
      <c r="F20" s="18">
        <f t="shared" si="1"/>
        <v>0.21053005768090904</v>
      </c>
      <c r="H20" s="17">
        <f t="shared" si="2"/>
        <v>5.2632514420227261e-002</v>
      </c>
      <c r="J20" s="9" t="s">
        <v>81</v>
      </c>
      <c r="K20" s="9">
        <f t="shared" si="11"/>
        <v>1.5</v>
      </c>
      <c r="L20" s="9">
        <v>0.5</v>
      </c>
      <c r="M20" s="9">
        <f t="shared" si="12"/>
        <v>2</v>
      </c>
      <c r="N20" s="18">
        <f t="shared" si="13"/>
        <v>0.62678797638211092</v>
      </c>
      <c r="O20" s="18">
        <f t="shared" si="16"/>
        <v>0.47009098228658319</v>
      </c>
      <c r="Q20" s="17">
        <f t="shared" si="14"/>
        <v>0.15669699409552773</v>
      </c>
    </row>
    <row r="21">
      <c r="A21" s="9" t="s">
        <v>82</v>
      </c>
      <c r="B21" s="9">
        <f t="shared" si="17"/>
        <v>2</v>
      </c>
      <c r="C21" s="9">
        <v>0.5</v>
      </c>
      <c r="D21" s="9">
        <f t="shared" si="15"/>
        <v>2.5</v>
      </c>
      <c r="E21" s="18">
        <f t="shared" si="6"/>
        <v>0.21053005768090904</v>
      </c>
      <c r="F21" s="18">
        <f t="shared" si="1"/>
        <v>0.16842404614472722</v>
      </c>
      <c r="H21" s="17">
        <f t="shared" si="2"/>
        <v>4.210601153618182e-002</v>
      </c>
      <c r="J21" s="9" t="s">
        <v>82</v>
      </c>
      <c r="K21" s="9">
        <f t="shared" si="11"/>
        <v>1.5</v>
      </c>
      <c r="L21" s="9">
        <v>0.5</v>
      </c>
      <c r="M21" s="9">
        <f t="shared" si="12"/>
        <v>2</v>
      </c>
      <c r="N21" s="18">
        <f t="shared" si="13"/>
        <v>0.47009098228658319</v>
      </c>
      <c r="O21" s="18">
        <f t="shared" si="16"/>
        <v>0.35256823671493742</v>
      </c>
      <c r="Q21" s="17">
        <f t="shared" si="14"/>
        <v>0.11752274557164577</v>
      </c>
    </row>
    <row r="22">
      <c r="A22" s="9" t="s">
        <v>83</v>
      </c>
      <c r="B22" s="9">
        <f t="shared" si="17"/>
        <v>2</v>
      </c>
      <c r="C22" s="9">
        <v>0.5</v>
      </c>
      <c r="D22" s="9">
        <f t="shared" si="15"/>
        <v>2.5</v>
      </c>
      <c r="E22" s="18">
        <f t="shared" si="6"/>
        <v>0.16842404614472722</v>
      </c>
      <c r="F22" s="18">
        <f t="shared" si="1"/>
        <v>0.13473923691578177</v>
      </c>
      <c r="H22" s="17">
        <f t="shared" si="2"/>
        <v>3.3684809228945456e-002</v>
      </c>
      <c r="J22" s="9" t="s">
        <v>83</v>
      </c>
      <c r="K22" s="9">
        <f t="shared" si="11"/>
        <v>1.5</v>
      </c>
      <c r="L22" s="9">
        <v>0.5</v>
      </c>
      <c r="M22" s="9">
        <f t="shared" si="12"/>
        <v>2</v>
      </c>
      <c r="N22" s="18">
        <f t="shared" si="13"/>
        <v>0.35256823671493742</v>
      </c>
      <c r="O22" s="18">
        <f t="shared" si="16"/>
        <v>0.26442617753620307</v>
      </c>
      <c r="Q22" s="17">
        <f t="shared" si="14"/>
        <v>8.8142059178734355e-002</v>
      </c>
    </row>
    <row r="23">
      <c r="A23" s="9" t="s">
        <v>84</v>
      </c>
      <c r="B23" s="9">
        <f t="shared" si="17"/>
        <v>2</v>
      </c>
      <c r="C23" s="9">
        <v>0.5</v>
      </c>
      <c r="D23" s="9">
        <f t="shared" si="15"/>
        <v>2.5</v>
      </c>
      <c r="E23" s="18">
        <f t="shared" si="6"/>
        <v>0.13473923691578177</v>
      </c>
      <c r="F23" s="18">
        <f t="shared" si="1"/>
        <v>0.10779138953262542</v>
      </c>
      <c r="H23" s="17">
        <f t="shared" si="2"/>
        <v>2.6947847383156351e-002</v>
      </c>
      <c r="J23" s="9" t="s">
        <v>84</v>
      </c>
      <c r="K23" s="9">
        <f t="shared" si="11"/>
        <v>1.5</v>
      </c>
      <c r="L23" s="9">
        <v>0.5</v>
      </c>
      <c r="M23" s="9">
        <f t="shared" si="12"/>
        <v>2</v>
      </c>
      <c r="N23" s="18">
        <f t="shared" si="13"/>
        <v>0.26442617753620307</v>
      </c>
      <c r="O23" s="18">
        <f t="shared" si="16"/>
        <v>0.19831963315215229</v>
      </c>
      <c r="Q23" s="17">
        <f t="shared" si="14"/>
        <v>6.610654438405078e-002</v>
      </c>
    </row>
    <row r="24">
      <c r="A24" s="9" t="s">
        <v>85</v>
      </c>
      <c r="B24" s="9">
        <f t="shared" si="17"/>
        <v>2</v>
      </c>
      <c r="C24" s="9">
        <v>0.5</v>
      </c>
      <c r="D24" s="9">
        <f t="shared" si="15"/>
        <v>2.5</v>
      </c>
      <c r="E24" s="18">
        <f t="shared" si="6"/>
        <v>0.10779138953262542</v>
      </c>
      <c r="F24" s="18">
        <f t="shared" si="1"/>
        <v>8.6233111626100339e-002</v>
      </c>
      <c r="H24" s="17">
        <f t="shared" si="2"/>
        <v>2.1558277906525078e-002</v>
      </c>
      <c r="J24" s="9" t="s">
        <v>85</v>
      </c>
      <c r="K24" s="9">
        <f t="shared" si="11"/>
        <v>1.5</v>
      </c>
      <c r="L24" s="9">
        <v>0.5</v>
      </c>
      <c r="M24" s="9">
        <f t="shared" si="12"/>
        <v>2</v>
      </c>
      <c r="N24" s="18">
        <f t="shared" si="13"/>
        <v>0.19831963315215229</v>
      </c>
      <c r="O24" s="18">
        <f t="shared" si="16"/>
        <v>0.14873972486411421</v>
      </c>
      <c r="Q24" s="17">
        <f t="shared" si="14"/>
        <v>4.9579908288038071e-002</v>
      </c>
    </row>
    <row r="25">
      <c r="A25" s="9" t="s">
        <v>86</v>
      </c>
      <c r="B25" s="9">
        <f t="shared" si="17"/>
        <v>2</v>
      </c>
      <c r="C25" s="9">
        <v>0.5</v>
      </c>
      <c r="D25" s="9">
        <f t="shared" si="15"/>
        <v>2.5</v>
      </c>
      <c r="E25" s="18">
        <f t="shared" si="6"/>
        <v>8.6233111626100339e-002</v>
      </c>
      <c r="F25" s="18">
        <f>(E25*B25)/D25</f>
        <v>6.8986489300880277e-002</v>
      </c>
      <c r="H25" s="17">
        <f t="shared" si="2"/>
        <v>1.7246622325220062e-002</v>
      </c>
      <c r="J25" s="9" t="s">
        <v>86</v>
      </c>
      <c r="K25" s="9">
        <f t="shared" si="11"/>
        <v>1.5</v>
      </c>
      <c r="L25" s="9">
        <v>0.5</v>
      </c>
      <c r="M25" s="9">
        <f t="shared" si="12"/>
        <v>2</v>
      </c>
      <c r="N25" s="18">
        <f t="shared" si="13"/>
        <v>0.14873972486411421</v>
      </c>
      <c r="O25" s="18">
        <f t="shared" si="16"/>
        <v>0.11155479364808565</v>
      </c>
      <c r="Q25" s="17">
        <f t="shared" si="14"/>
        <v>3.7184931216028561e-002</v>
      </c>
    </row>
    <row r="26">
      <c r="A26" s="9" t="s">
        <v>87</v>
      </c>
      <c r="B26" s="9">
        <f t="shared" si="17"/>
        <v>2</v>
      </c>
      <c r="C26" s="9">
        <v>0.5</v>
      </c>
      <c r="D26" s="9">
        <f t="shared" si="15"/>
        <v>2.5</v>
      </c>
      <c r="E26" s="18">
        <f t="shared" si="6"/>
        <v>6.8986489300880277e-002</v>
      </c>
      <c r="F26" s="18">
        <f t="shared" si="1"/>
        <v>5.5189191440704222e-002</v>
      </c>
      <c r="H26" s="17">
        <f t="shared" si="2"/>
        <v>1.3797297860176055e-002</v>
      </c>
      <c r="J26" s="9" t="s">
        <v>87</v>
      </c>
      <c r="K26" s="9">
        <f t="shared" si="11"/>
        <v>1.5</v>
      </c>
      <c r="L26" s="9">
        <v>0.5</v>
      </c>
      <c r="M26" s="9">
        <f t="shared" si="12"/>
        <v>2</v>
      </c>
      <c r="N26" s="18">
        <f t="shared" si="13"/>
        <v>0.11155479364808565</v>
      </c>
      <c r="O26" s="18">
        <f t="shared" si="16"/>
        <v>8.3666095236064247e-002</v>
      </c>
      <c r="Q26" s="17">
        <f t="shared" si="14"/>
        <v>2.7888698412021407e-002</v>
      </c>
    </row>
    <row r="27">
      <c r="A27" s="9" t="s">
        <v>88</v>
      </c>
      <c r="B27" s="9">
        <f t="shared" si="17"/>
        <v>2</v>
      </c>
      <c r="C27" s="9">
        <v>0.5</v>
      </c>
      <c r="D27" s="9">
        <f t="shared" si="15"/>
        <v>2.5</v>
      </c>
      <c r="E27" s="18">
        <f t="shared" si="6"/>
        <v>5.5189191440704222e-002</v>
      </c>
      <c r="F27" s="18">
        <f t="shared" si="1"/>
        <v>4.4151353152563376e-002</v>
      </c>
      <c r="H27" s="17">
        <f t="shared" si="2"/>
        <v>1.1037838288140846e-002</v>
      </c>
      <c r="J27" s="9" t="s">
        <v>88</v>
      </c>
      <c r="K27" s="9">
        <f t="shared" si="11"/>
        <v>1.5</v>
      </c>
      <c r="L27" s="9">
        <v>0.5</v>
      </c>
      <c r="M27" s="9">
        <f t="shared" si="12"/>
        <v>2</v>
      </c>
      <c r="N27" s="18">
        <f t="shared" si="13"/>
        <v>8.3666095236064247e-002</v>
      </c>
      <c r="O27" s="18">
        <f t="shared" si="16"/>
        <v>6.2749571427048179e-002</v>
      </c>
      <c r="Q27" s="17">
        <f t="shared" si="14"/>
        <v>2.0916523809016069e-002</v>
      </c>
    </row>
    <row r="28">
      <c r="A28" s="9" t="s">
        <v>89</v>
      </c>
      <c r="B28" s="9">
        <f t="shared" ref="B28:B36" si="18">B27</f>
        <v>2</v>
      </c>
      <c r="C28" s="9">
        <v>0.5</v>
      </c>
      <c r="D28" s="9">
        <f t="shared" ref="D28:D36" si="19">B28+C28</f>
        <v>2.5</v>
      </c>
      <c r="E28" s="18">
        <f t="shared" ref="E28:E36" si="20">F27</f>
        <v>4.4151353152563376e-002</v>
      </c>
      <c r="F28" s="18">
        <f t="shared" si="1"/>
        <v>3.5321082522050698e-002</v>
      </c>
      <c r="H28" s="17">
        <f t="shared" si="2"/>
        <v>8.830270630512678e-003</v>
      </c>
      <c r="J28" s="9" t="s">
        <v>89</v>
      </c>
      <c r="K28" s="9">
        <f t="shared" si="11"/>
        <v>1.5</v>
      </c>
      <c r="L28" s="9">
        <v>0.5</v>
      </c>
      <c r="M28" s="9">
        <f t="shared" si="12"/>
        <v>2</v>
      </c>
      <c r="N28" s="18">
        <f t="shared" si="13"/>
        <v>6.2749571427048179e-002</v>
      </c>
      <c r="O28" s="18">
        <f t="shared" si="16"/>
        <v>4.7062178570286134e-002</v>
      </c>
      <c r="Q28" s="17">
        <f t="shared" si="14"/>
        <v>1.5687392856762045e-002</v>
      </c>
    </row>
    <row r="29">
      <c r="A29" s="9" t="s">
        <v>90</v>
      </c>
      <c r="B29" s="9">
        <f t="shared" si="18"/>
        <v>2</v>
      </c>
      <c r="C29" s="9">
        <v>0.5</v>
      </c>
      <c r="D29" s="9">
        <f t="shared" si="19"/>
        <v>2.5</v>
      </c>
      <c r="E29" s="18">
        <f t="shared" si="20"/>
        <v>3.5321082522050698e-002</v>
      </c>
      <c r="F29" s="18">
        <f t="shared" ref="F29:F33" si="21">(E29*B29)/D29</f>
        <v>2.8256866017640558e-002</v>
      </c>
      <c r="H29" s="17">
        <f t="shared" si="2"/>
        <v>7.0642165044101403e-003</v>
      </c>
      <c r="J29" s="9" t="s">
        <v>90</v>
      </c>
      <c r="K29" s="9">
        <f t="shared" si="11"/>
        <v>1.5</v>
      </c>
      <c r="L29" s="9">
        <v>0.5</v>
      </c>
      <c r="M29" s="9">
        <f t="shared" si="12"/>
        <v>2</v>
      </c>
      <c r="N29" s="18">
        <f t="shared" si="13"/>
        <v>4.7062178570286134e-002</v>
      </c>
      <c r="O29" s="18">
        <f t="shared" si="16"/>
        <v>3.52966339277146e-002</v>
      </c>
      <c r="Q29" s="17">
        <f t="shared" si="14"/>
        <v>1.1765544642571533e-002</v>
      </c>
    </row>
    <row r="30">
      <c r="A30" s="9" t="s">
        <v>91</v>
      </c>
      <c r="B30" s="9">
        <f t="shared" si="18"/>
        <v>2</v>
      </c>
      <c r="C30" s="9">
        <v>0.5</v>
      </c>
      <c r="D30" s="9">
        <f t="shared" si="19"/>
        <v>2.5</v>
      </c>
      <c r="E30" s="18">
        <f t="shared" si="20"/>
        <v>2.8256866017640558e-002</v>
      </c>
      <c r="F30" s="18">
        <f t="shared" si="21"/>
        <v>2.2605492814112445e-002</v>
      </c>
      <c r="H30" s="17">
        <f t="shared" si="2"/>
        <v>5.6513732035281122e-003</v>
      </c>
      <c r="J30" s="9" t="s">
        <v>91</v>
      </c>
      <c r="K30" s="9">
        <f t="shared" si="11"/>
        <v>1.5</v>
      </c>
      <c r="L30" s="9">
        <v>0.5</v>
      </c>
      <c r="M30" s="9">
        <f t="shared" si="12"/>
        <v>2</v>
      </c>
      <c r="N30" s="18">
        <f t="shared" si="13"/>
        <v>3.52966339277146e-002</v>
      </c>
      <c r="O30" s="18">
        <f t="shared" si="16"/>
        <v>2.6472475445785952e-002</v>
      </c>
      <c r="Q30" s="17">
        <f t="shared" si="14"/>
        <v>8.8241584819286484e-003</v>
      </c>
    </row>
    <row r="31">
      <c r="A31" s="2" t="s">
        <v>92</v>
      </c>
      <c r="B31" s="2">
        <f t="shared" si="18"/>
        <v>2</v>
      </c>
      <c r="C31" s="2">
        <v>0.5</v>
      </c>
      <c r="D31" s="2">
        <f t="shared" si="19"/>
        <v>2.5</v>
      </c>
      <c r="E31" s="1">
        <f t="shared" si="20"/>
        <v>2.2605492814112445e-002</v>
      </c>
      <c r="F31" s="1">
        <f t="shared" si="21"/>
        <v>1.8084394251289958e-002</v>
      </c>
      <c r="H31" s="17">
        <f t="shared" si="2"/>
        <v>4.5210985628224877e-003</v>
      </c>
      <c r="J31" s="2" t="s">
        <v>92</v>
      </c>
      <c r="K31" s="2">
        <f t="shared" si="11"/>
        <v>1.5</v>
      </c>
      <c r="L31" s="2">
        <v>0.5</v>
      </c>
      <c r="M31" s="2">
        <f t="shared" si="12"/>
        <v>2</v>
      </c>
      <c r="N31" s="1">
        <f t="shared" si="13"/>
        <v>2.6472475445785952e-002</v>
      </c>
      <c r="O31" s="1">
        <f t="shared" si="16"/>
        <v>1.9854356584339462e-002</v>
      </c>
      <c r="Q31" s="17">
        <f t="shared" si="14"/>
        <v>6.6181188614464898e-003</v>
      </c>
    </row>
    <row r="32">
      <c r="A32" s="2" t="s">
        <v>93</v>
      </c>
      <c r="B32" s="2">
        <f t="shared" si="18"/>
        <v>2</v>
      </c>
      <c r="C32" s="2">
        <v>0.5</v>
      </c>
      <c r="D32" s="2">
        <f t="shared" si="19"/>
        <v>2.5</v>
      </c>
      <c r="E32" s="1">
        <f t="shared" si="20"/>
        <v>1.8084394251289958e-002</v>
      </c>
      <c r="F32" s="1">
        <f t="shared" si="21"/>
        <v>1.4467515401031967e-002</v>
      </c>
      <c r="H32" s="17">
        <f t="shared" si="2"/>
        <v>3.6168788502579912e-003</v>
      </c>
      <c r="J32" s="2" t="s">
        <v>93</v>
      </c>
      <c r="K32" s="2">
        <f t="shared" si="11"/>
        <v>1.5</v>
      </c>
      <c r="L32" s="2">
        <v>0.5</v>
      </c>
      <c r="M32" s="2">
        <f t="shared" si="12"/>
        <v>2</v>
      </c>
      <c r="N32" s="1">
        <f t="shared" si="13"/>
        <v>1.9854356584339462e-002</v>
      </c>
      <c r="O32" s="1">
        <f t="shared" si="16"/>
        <v>1.4890767438254597e-002</v>
      </c>
      <c r="Q32" s="17">
        <f t="shared" si="14"/>
        <v>4.9635891460848656e-003</v>
      </c>
    </row>
    <row r="33">
      <c r="A33" s="2" t="s">
        <v>94</v>
      </c>
      <c r="B33" s="2">
        <f t="shared" si="18"/>
        <v>2</v>
      </c>
      <c r="C33" s="2">
        <v>0.5</v>
      </c>
      <c r="D33" s="2">
        <f t="shared" si="19"/>
        <v>2.5</v>
      </c>
      <c r="E33" s="1">
        <f t="shared" si="20"/>
        <v>1.4467515401031967e-002</v>
      </c>
      <c r="F33" s="1">
        <f t="shared" si="21"/>
        <v>1.1574012320825573e-002</v>
      </c>
      <c r="H33" s="17">
        <f t="shared" si="2"/>
        <v>2.893503080206394e-003</v>
      </c>
      <c r="J33" s="2" t="s">
        <v>94</v>
      </c>
      <c r="K33" s="2">
        <f t="shared" si="11"/>
        <v>1.5</v>
      </c>
      <c r="L33" s="2">
        <v>0.5</v>
      </c>
      <c r="M33" s="2">
        <f t="shared" si="12"/>
        <v>2</v>
      </c>
      <c r="N33" s="1">
        <f t="shared" si="13"/>
        <v>1.4890767438254597e-002</v>
      </c>
      <c r="O33" s="1">
        <f t="shared" si="16"/>
        <v>1.1168075578690947e-002</v>
      </c>
      <c r="Q33" s="17">
        <f t="shared" si="14"/>
        <v>3.7226918595636496e-003</v>
      </c>
    </row>
    <row r="34">
      <c r="A34" s="2" t="s">
        <v>95</v>
      </c>
      <c r="B34" s="2">
        <f t="shared" si="18"/>
        <v>2</v>
      </c>
      <c r="C34" s="2">
        <v>0.5</v>
      </c>
      <c r="D34" s="2">
        <f t="shared" si="19"/>
        <v>2.5</v>
      </c>
      <c r="E34" s="1">
        <f t="shared" si="20"/>
        <v>1.1574012320825573e-002</v>
      </c>
      <c r="F34" s="1">
        <f>(E34*B34)/D34</f>
        <v>9.2592098566604587e-003</v>
      </c>
      <c r="H34" s="17">
        <f t="shared" si="2"/>
        <v>2.3148024641651138e-003</v>
      </c>
      <c r="J34" s="2" t="s">
        <v>95</v>
      </c>
      <c r="K34" s="2">
        <f t="shared" si="11"/>
        <v>1.5</v>
      </c>
      <c r="L34" s="2">
        <v>0.5</v>
      </c>
      <c r="M34" s="2">
        <f t="shared" si="12"/>
        <v>2</v>
      </c>
      <c r="N34" s="1">
        <f t="shared" si="13"/>
        <v>1.1168075578690947e-002</v>
      </c>
      <c r="O34" s="1">
        <f t="shared" si="16"/>
        <v>8.3760566840182099e-003</v>
      </c>
      <c r="Q34" s="17">
        <f t="shared" si="14"/>
        <v>2.7920188946727372e-003</v>
      </c>
    </row>
    <row r="35">
      <c r="A35" s="2" t="s">
        <v>96</v>
      </c>
      <c r="B35" s="2">
        <f t="shared" si="18"/>
        <v>2</v>
      </c>
      <c r="C35" s="2">
        <v>0.5</v>
      </c>
      <c r="D35" s="2">
        <f t="shared" si="19"/>
        <v>2.5</v>
      </c>
      <c r="E35" s="1">
        <f t="shared" si="20"/>
        <v>9.2592098566604587e-003</v>
      </c>
      <c r="F35" s="1">
        <f t="shared" ref="F35:F36" si="22">(E35*B35)/D35</f>
        <v>7.4073678853283668e-003</v>
      </c>
      <c r="H35" s="17">
        <f t="shared" si="2"/>
        <v>1.8518419713320919e-003</v>
      </c>
      <c r="J35" s="2" t="s">
        <v>96</v>
      </c>
      <c r="K35" s="2">
        <f t="shared" si="11"/>
        <v>1.5</v>
      </c>
      <c r="L35" s="2">
        <v>0.5</v>
      </c>
      <c r="M35" s="2">
        <f t="shared" si="12"/>
        <v>2</v>
      </c>
      <c r="N35" s="1">
        <f t="shared" si="13"/>
        <v>8.3760566840182099e-003</v>
      </c>
      <c r="O35" s="1">
        <f t="shared" si="16"/>
        <v>6.2820425130136574e-003</v>
      </c>
      <c r="Q35" s="17">
        <f t="shared" si="14"/>
        <v>2.0940141710045525e-003</v>
      </c>
    </row>
    <row r="36">
      <c r="A36" s="2" t="s">
        <v>97</v>
      </c>
      <c r="B36" s="2">
        <f t="shared" si="18"/>
        <v>2</v>
      </c>
      <c r="C36" s="2">
        <v>0.5</v>
      </c>
      <c r="D36" s="2">
        <f t="shared" si="19"/>
        <v>2.5</v>
      </c>
      <c r="E36" s="1">
        <f t="shared" si="20"/>
        <v>7.4073678853283668e-003</v>
      </c>
      <c r="F36" s="1">
        <f t="shared" si="22"/>
        <v>5.9258943082626933e-003</v>
      </c>
      <c r="H36" s="17">
        <f t="shared" si="2"/>
        <v>1.4814735770656735e-003</v>
      </c>
      <c r="J36" s="2" t="s">
        <v>97</v>
      </c>
      <c r="K36" s="2">
        <f t="shared" si="11"/>
        <v>1.5</v>
      </c>
      <c r="L36" s="2">
        <v>0.5</v>
      </c>
      <c r="M36" s="2">
        <f t="shared" si="12"/>
        <v>2</v>
      </c>
      <c r="N36" s="1">
        <f t="shared" si="13"/>
        <v>6.2820425130136574e-003</v>
      </c>
      <c r="O36" s="1">
        <f t="shared" si="16"/>
        <v>4.7115318847602431e-003</v>
      </c>
      <c r="Q36" s="17">
        <f t="shared" si="14"/>
        <v>1.5705106282534144e-003</v>
      </c>
    </row>
  </sheetData>
  <pageMargins left="0.69999999999999996" right="0.69999999999999996" top="0.75" bottom="0.75" header="0.29999999999999999" footer="0.2999999999999999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zoomScale="124" workbookViewId="0">
      <selection activeCell="E21" sqref="E21"/>
    </sheetView>
  </sheetViews>
  <sheetFormatPr defaultRowHeight="14.4"/>
  <sheetData>
    <row r="1">
      <c r="B1">
        <v>1</v>
      </c>
      <c r="C1">
        <v>2</v>
      </c>
      <c r="D1">
        <v>3</v>
      </c>
      <c r="E1">
        <v>4</v>
      </c>
      <c r="F1">
        <v>5</v>
      </c>
      <c r="I1">
        <v>1</v>
      </c>
      <c r="J1">
        <v>2</v>
      </c>
      <c r="K1">
        <v>3</v>
      </c>
      <c r="L1">
        <v>4</v>
      </c>
      <c r="M1">
        <v>5</v>
      </c>
    </row>
    <row r="2">
      <c r="A2" t="s">
        <v>58</v>
      </c>
      <c r="B2">
        <v>0.28899999999999998</v>
      </c>
      <c r="C2">
        <v>0.34200000000000003</v>
      </c>
      <c r="D2">
        <v>0.76700000000000002</v>
      </c>
      <c r="E2">
        <v>0.497</v>
      </c>
      <c r="F2">
        <v>0.66700000000000004</v>
      </c>
      <c r="H2" t="s">
        <v>59</v>
      </c>
      <c r="I2">
        <f>(12.25*B2) - (2.55*B3)</f>
        <v>3.23935</v>
      </c>
      <c r="J2">
        <f>(12.25*C2) - (2.55*C3)</f>
        <v>3.8580000000000005</v>
      </c>
      <c r="K2">
        <f t="shared" ref="K2:M2" si="0">(12.25*D2) - (2.55*D3)</f>
        <v>8.4114500000000003</v>
      </c>
      <c r="L2">
        <f t="shared" si="0"/>
        <v>5.2977500000000006</v>
      </c>
      <c r="M2">
        <f t="shared" si="0"/>
        <v>7.0334500000000002</v>
      </c>
    </row>
    <row r="3">
      <c r="A3" t="s">
        <v>34</v>
      </c>
      <c r="B3">
        <v>0.11799999999999999</v>
      </c>
      <c r="C3">
        <v>0.13</v>
      </c>
      <c r="D3">
        <v>0.38600000000000001</v>
      </c>
      <c r="E3">
        <v>0.31</v>
      </c>
      <c r="F3">
        <v>0.44600000000000001</v>
      </c>
      <c r="H3" t="s">
        <v>60</v>
      </c>
      <c r="I3">
        <f>(20.31*B3)-(4.91*B2)</f>
        <v>0.97758999999999974</v>
      </c>
      <c r="J3">
        <f>(20.31*C3)-(4.91*C2)</f>
        <v>0.96107999999999971</v>
      </c>
      <c r="K3">
        <f t="shared" ref="K3:M3" si="1">(20.31*D3)-(4.91*D2)</f>
        <v>4.0736899999999991</v>
      </c>
      <c r="L3">
        <f t="shared" si="1"/>
        <v>3.8558299999999992</v>
      </c>
      <c r="M3">
        <f>(20.31*F3)-(4.91*F2)</f>
        <v>5.7832899999999992</v>
      </c>
    </row>
    <row r="9">
      <c r="C9" t="s">
        <v>191</v>
      </c>
      <c r="E9" t="s">
        <v>202</v>
      </c>
    </row>
    <row r="11">
      <c r="C11">
        <v>1.76</v>
      </c>
      <c r="E11">
        <v>2.8999999999999999</v>
      </c>
    </row>
    <row r="12">
      <c r="C12">
        <v>1.6100000000000001</v>
      </c>
      <c r="E12">
        <v>2.8900000000000001</v>
      </c>
    </row>
    <row r="13">
      <c r="C13">
        <v>1.1799999999999999</v>
      </c>
      <c r="E13">
        <v>2.9700000000000002</v>
      </c>
    </row>
    <row r="14">
      <c r="C14">
        <v>1.29</v>
      </c>
      <c r="E14">
        <v>2.5899999999999999</v>
      </c>
    </row>
    <row r="15">
      <c r="C15">
        <v>1.4199999999999999</v>
      </c>
      <c r="E15">
        <v>2.8500000000000001</v>
      </c>
    </row>
    <row r="16">
      <c r="C16">
        <v>0.97999999999999998</v>
      </c>
      <c r="E16">
        <v>3.3799999999999999</v>
      </c>
    </row>
    <row r="17">
      <c r="C17">
        <v>1.26</v>
      </c>
      <c r="E17">
        <v>2.9100000000000001</v>
      </c>
    </row>
    <row r="18">
      <c r="C18">
        <v>1.51</v>
      </c>
      <c r="E18">
        <v>3.2400000000000002</v>
      </c>
    </row>
    <row r="19">
      <c r="C19">
        <v>0.91000000000000003</v>
      </c>
      <c r="E19">
        <v>2.5699999999999998</v>
      </c>
    </row>
    <row r="20">
      <c r="C20">
        <v>1.1699999999999999</v>
      </c>
      <c r="E20">
        <v>3.9900000000000002</v>
      </c>
    </row>
    <row r="21">
      <c r="C21">
        <f>AVERAGE(C11:C20)</f>
        <v>1.3089999999999999</v>
      </c>
      <c r="E21">
        <f>AVERAGE(E11:E20)</f>
        <v>3.0289999999999999</v>
      </c>
    </row>
    <row r="22">
      <c r="C22">
        <f>_xlfn.STDEV.P(C11:C20)</f>
        <v>0.25551712271391896</v>
      </c>
      <c r="E22">
        <f>_xlfn.STDEV.P(E11:E20)</f>
        <v>0.39752861532222117</v>
      </c>
    </row>
  </sheetData>
  <pageMargins left="0.69999999999999996" right="0.69999999999999996" top="0.75" bottom="0.75" header="0.29999999999999999" footer="0.299999999999999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zoomScaleNormal="115" workbookViewId="0">
      <selection activeCell="E10" sqref="E10"/>
    </sheetView>
  </sheetViews>
  <sheetFormatPr defaultRowHeight="14.4"/>
  <sheetData>
    <row r="1">
      <c r="A1" t="s">
        <v>42</v>
      </c>
      <c r="B1" t="s">
        <v>13</v>
      </c>
      <c r="C1" t="s">
        <v>14</v>
      </c>
      <c r="D1" t="s">
        <v>35</v>
      </c>
      <c r="E1" t="s">
        <v>36</v>
      </c>
      <c r="H1" s="6" t="s">
        <v>8</v>
      </c>
      <c r="I1" s="6"/>
      <c r="J1" s="6"/>
      <c r="K1" s="6"/>
    </row>
    <row r="2">
      <c r="A2">
        <v>1</v>
      </c>
      <c r="B2">
        <v>0.22500000000000001</v>
      </c>
      <c r="C2">
        <v>0.13500000000000001</v>
      </c>
      <c r="D2" s="2">
        <f>(12.25*B2)-(2.55*C2)</f>
        <v>2.4119999999999999</v>
      </c>
      <c r="E2" s="2">
        <f>(20.31*C2)-(4.91*B2)</f>
        <v>1.6370999999999998</v>
      </c>
      <c r="H2" s="6" t="s">
        <v>10</v>
      </c>
      <c r="I2" s="6"/>
      <c r="J2" s="6"/>
      <c r="K2" s="6"/>
    </row>
    <row r="3">
      <c r="A3">
        <v>2</v>
      </c>
      <c r="B3">
        <v>0.187</v>
      </c>
      <c r="C3">
        <v>0.10100000000000001</v>
      </c>
      <c r="D3" s="2">
        <f t="shared" ref="D3:D27" si="0">(12.25*B3)-(2.55*C3)</f>
        <v>2.0331999999999999</v>
      </c>
      <c r="E3" s="2">
        <f t="shared" ref="E3:E27" si="1">(20.31*C3)-(4.91*B3)</f>
        <v>1.13314</v>
      </c>
    </row>
    <row r="4">
      <c r="A4">
        <v>3</v>
      </c>
      <c r="B4">
        <v>0.23000000000000001</v>
      </c>
      <c r="C4">
        <v>0.125</v>
      </c>
      <c r="D4" s="2">
        <f t="shared" si="0"/>
        <v>2.4987500000000002</v>
      </c>
      <c r="E4" s="2">
        <f t="shared" si="1"/>
        <v>1.4094499999999996</v>
      </c>
    </row>
    <row r="5">
      <c r="A5">
        <v>4</v>
      </c>
      <c r="B5">
        <v>0.16300000000000001</v>
      </c>
      <c r="C5">
        <v>9.4e-002</v>
      </c>
      <c r="D5" s="2">
        <f t="shared" si="0"/>
        <v>1.75705</v>
      </c>
      <c r="E5" s="2">
        <f t="shared" si="1"/>
        <v>1.1088099999999996</v>
      </c>
    </row>
    <row r="6">
      <c r="A6">
        <v>5</v>
      </c>
      <c r="B6">
        <v>0.27800000000000002</v>
      </c>
      <c r="C6">
        <v>0.153</v>
      </c>
      <c r="D6" s="2">
        <f t="shared" si="0"/>
        <v>3.0153500000000006</v>
      </c>
      <c r="E6" s="2">
        <f t="shared" si="1"/>
        <v>1.7424499999999998</v>
      </c>
    </row>
    <row r="7">
      <c r="A7">
        <v>6</v>
      </c>
      <c r="B7">
        <v>0.23400000000000001</v>
      </c>
      <c r="C7">
        <v>0.13300000000000001</v>
      </c>
      <c r="D7" s="2">
        <f t="shared" si="0"/>
        <v>2.5273500000000002</v>
      </c>
      <c r="E7" s="2">
        <f t="shared" si="1"/>
        <v>1.5522899999999997</v>
      </c>
    </row>
    <row r="8">
      <c r="A8">
        <v>7</v>
      </c>
      <c r="B8">
        <v>0.30499999999999999</v>
      </c>
      <c r="C8">
        <v>0.17399999999999999</v>
      </c>
      <c r="D8" s="2">
        <f t="shared" si="0"/>
        <v>3.2925500000000003</v>
      </c>
      <c r="E8" s="2">
        <f t="shared" si="1"/>
        <v>2.0363899999999995</v>
      </c>
    </row>
    <row r="9">
      <c r="A9">
        <v>8</v>
      </c>
      <c r="B9">
        <v>0.29499999999999998</v>
      </c>
      <c r="C9">
        <v>0.16400000000000001</v>
      </c>
      <c r="D9" s="2">
        <f t="shared" si="0"/>
        <v>3.1955499999999999</v>
      </c>
      <c r="E9" s="2">
        <f t="shared" si="1"/>
        <v>1.8823899999999998</v>
      </c>
    </row>
    <row r="10">
      <c r="A10">
        <v>9</v>
      </c>
      <c r="B10">
        <v>0.23000000000000001</v>
      </c>
      <c r="C10">
        <v>0.125</v>
      </c>
      <c r="D10" s="2">
        <f t="shared" si="0"/>
        <v>2.4987500000000002</v>
      </c>
      <c r="E10" s="2">
        <f t="shared" si="1"/>
        <v>1.4094499999999996</v>
      </c>
    </row>
    <row r="11">
      <c r="A11">
        <v>10</v>
      </c>
      <c r="B11">
        <v>0.215</v>
      </c>
      <c r="C11">
        <v>0.125</v>
      </c>
      <c r="D11" s="2">
        <f t="shared" si="0"/>
        <v>2.3149999999999999</v>
      </c>
      <c r="E11" s="2">
        <f t="shared" si="1"/>
        <v>1.4830999999999999</v>
      </c>
    </row>
    <row r="12">
      <c r="A12">
        <v>11</v>
      </c>
      <c r="B12">
        <v>0.29899999999999999</v>
      </c>
      <c r="C12">
        <v>0.14899999999999999</v>
      </c>
      <c r="D12" s="2">
        <f t="shared" si="0"/>
        <v>3.2827999999999999</v>
      </c>
      <c r="E12" s="2">
        <f t="shared" si="1"/>
        <v>1.5580999999999998</v>
      </c>
      <c r="Z12" t="s">
        <v>44</v>
      </c>
      <c r="AB12" t="s">
        <v>46</v>
      </c>
    </row>
    <row r="13">
      <c r="A13">
        <v>12</v>
      </c>
      <c r="B13">
        <v>0.42399999999999999</v>
      </c>
      <c r="C13">
        <v>0.22500000000000001</v>
      </c>
      <c r="D13" s="2">
        <f t="shared" si="0"/>
        <v>4.6202500000000004</v>
      </c>
      <c r="E13" s="2">
        <f t="shared" si="1"/>
        <v>2.4879099999999998</v>
      </c>
      <c r="Z13" t="s">
        <v>43</v>
      </c>
      <c r="AB13" t="s">
        <v>43</v>
      </c>
    </row>
    <row r="14">
      <c r="A14">
        <v>13</v>
      </c>
      <c r="B14">
        <v>0.307</v>
      </c>
      <c r="C14">
        <v>0.16700000000000001</v>
      </c>
      <c r="D14" s="2">
        <f t="shared" si="0"/>
        <v>3.3348999999999998</v>
      </c>
      <c r="E14" s="2">
        <f t="shared" si="1"/>
        <v>1.8844000000000001</v>
      </c>
      <c r="Z14">
        <v>20</v>
      </c>
      <c r="AB14">
        <v>8</v>
      </c>
    </row>
    <row r="15">
      <c r="A15">
        <v>14</v>
      </c>
      <c r="B15">
        <v>0.23400000000000001</v>
      </c>
      <c r="C15">
        <v>0.14199999999999999</v>
      </c>
      <c r="D15" s="2">
        <f t="shared" si="0"/>
        <v>2.5044000000000004</v>
      </c>
      <c r="E15" s="2">
        <f t="shared" si="1"/>
        <v>1.7350799999999995</v>
      </c>
      <c r="Z15">
        <v>5</v>
      </c>
      <c r="AB15" t="s">
        <v>47</v>
      </c>
    </row>
    <row r="16">
      <c r="A16">
        <v>15</v>
      </c>
      <c r="B16">
        <v>0.29899999999999999</v>
      </c>
      <c r="C16">
        <v>0.16700000000000001</v>
      </c>
      <c r="D16" s="2">
        <f t="shared" si="0"/>
        <v>3.2368999999999999</v>
      </c>
      <c r="E16" s="2">
        <f t="shared" si="1"/>
        <v>1.9236800000000003</v>
      </c>
      <c r="Z16">
        <v>16</v>
      </c>
      <c r="AB16">
        <v>17</v>
      </c>
    </row>
    <row r="17">
      <c r="A17">
        <v>16</v>
      </c>
      <c r="B17">
        <v>0.312</v>
      </c>
      <c r="C17">
        <v>0.16800000000000001</v>
      </c>
      <c r="D17" s="2">
        <f t="shared" si="0"/>
        <v>3.3936000000000002</v>
      </c>
      <c r="E17" s="2">
        <f t="shared" si="1"/>
        <v>1.8801600000000001</v>
      </c>
      <c r="Z17">
        <v>4</v>
      </c>
      <c r="AB17">
        <v>1</v>
      </c>
    </row>
    <row r="18">
      <c r="A18">
        <v>17</v>
      </c>
      <c r="B18">
        <v>0.20399999999999999</v>
      </c>
      <c r="C18">
        <v>0.123</v>
      </c>
      <c r="D18" s="2">
        <f t="shared" si="0"/>
        <v>2.1853499999999997</v>
      </c>
      <c r="E18" s="2">
        <f t="shared" si="1"/>
        <v>1.4964899999999999</v>
      </c>
      <c r="Z18">
        <v>19</v>
      </c>
      <c r="AB18">
        <v>14</v>
      </c>
    </row>
    <row r="19">
      <c r="A19">
        <v>18</v>
      </c>
      <c r="B19">
        <v>0.26600000000000001</v>
      </c>
      <c r="C19">
        <v>0.14799999999999999</v>
      </c>
      <c r="D19" s="2">
        <f t="shared" si="0"/>
        <v>2.8811</v>
      </c>
      <c r="E19" s="2">
        <f t="shared" si="1"/>
        <v>1.6998199999999994</v>
      </c>
      <c r="Z19">
        <v>9</v>
      </c>
      <c r="AB19">
        <v>6</v>
      </c>
    </row>
    <row r="20">
      <c r="A20">
        <v>19</v>
      </c>
      <c r="B20">
        <v>0.26900000000000002</v>
      </c>
      <c r="C20">
        <v>0.154</v>
      </c>
      <c r="D20" s="2">
        <f t="shared" si="0"/>
        <v>2.9025500000000002</v>
      </c>
      <c r="E20" s="2">
        <f t="shared" si="1"/>
        <v>1.8069499999999996</v>
      </c>
      <c r="Z20">
        <v>2</v>
      </c>
      <c r="AB20">
        <v>9</v>
      </c>
    </row>
    <row r="21">
      <c r="A21">
        <v>20</v>
      </c>
      <c r="B21">
        <v>0.31900000000000001</v>
      </c>
      <c r="C21">
        <v>0.157</v>
      </c>
      <c r="D21" s="2">
        <f t="shared" si="0"/>
        <v>3.5074000000000001</v>
      </c>
      <c r="E21" s="2">
        <f t="shared" si="1"/>
        <v>1.6223799999999995</v>
      </c>
      <c r="Z21">
        <v>15</v>
      </c>
      <c r="AB21">
        <v>24</v>
      </c>
    </row>
    <row r="22">
      <c r="A22">
        <v>21</v>
      </c>
      <c r="B22">
        <v>0.29999999999999999</v>
      </c>
      <c r="C22">
        <v>0.16800000000000001</v>
      </c>
      <c r="D22" s="2">
        <f t="shared" si="0"/>
        <v>3.2465999999999999</v>
      </c>
      <c r="E22" s="2">
        <f t="shared" si="1"/>
        <v>1.9390799999999999</v>
      </c>
      <c r="Z22">
        <v>23</v>
      </c>
      <c r="AB22">
        <v>2</v>
      </c>
    </row>
    <row r="23">
      <c r="A23">
        <v>22</v>
      </c>
      <c r="B23">
        <v>0.26100000000000001</v>
      </c>
      <c r="C23">
        <v>0.14199999999999999</v>
      </c>
      <c r="D23" s="2">
        <f t="shared" si="0"/>
        <v>2.8351500000000001</v>
      </c>
      <c r="E23" s="2">
        <f t="shared" si="1"/>
        <v>1.6025099999999994</v>
      </c>
      <c r="Z23">
        <v>25</v>
      </c>
      <c r="AB23">
        <v>19</v>
      </c>
    </row>
    <row r="24">
      <c r="A24">
        <v>23</v>
      </c>
      <c r="B24">
        <v>0.22900000000000001</v>
      </c>
      <c r="C24">
        <v>0.12</v>
      </c>
      <c r="D24" s="2">
        <f t="shared" si="0"/>
        <v>2.49925</v>
      </c>
      <c r="E24" s="2">
        <f t="shared" si="1"/>
        <v>1.3128099999999998</v>
      </c>
      <c r="Z24">
        <v>12</v>
      </c>
      <c r="AB24">
        <v>7</v>
      </c>
    </row>
    <row r="25">
      <c r="A25">
        <v>24</v>
      </c>
      <c r="B25">
        <v>0.28999999999999998</v>
      </c>
      <c r="C25">
        <v>0.14299999999999999</v>
      </c>
      <c r="D25" s="2">
        <f t="shared" si="0"/>
        <v>3.1878500000000001</v>
      </c>
      <c r="E25" s="2">
        <f t="shared" si="1"/>
        <v>1.4804299999999995</v>
      </c>
      <c r="Z25">
        <v>7</v>
      </c>
      <c r="AB25">
        <v>3</v>
      </c>
    </row>
    <row r="26">
      <c r="A26">
        <v>25</v>
      </c>
      <c r="B26">
        <v>0.20699999999999999</v>
      </c>
      <c r="C26">
        <v>0.11600000000000001</v>
      </c>
      <c r="D26" s="2">
        <f t="shared" si="0"/>
        <v>2.2399499999999999</v>
      </c>
      <c r="E26" s="2">
        <f t="shared" si="1"/>
        <v>1.3395900000000001</v>
      </c>
      <c r="Z26">
        <v>22</v>
      </c>
      <c r="AB26">
        <v>23</v>
      </c>
    </row>
    <row r="27">
      <c r="A27">
        <v>26</v>
      </c>
      <c r="B27">
        <v>0.188</v>
      </c>
      <c r="C27">
        <v>0.105</v>
      </c>
      <c r="D27" s="2">
        <f t="shared" si="0"/>
        <v>2.03525</v>
      </c>
      <c r="E27" s="2">
        <f t="shared" si="1"/>
        <v>1.2094699999999996</v>
      </c>
      <c r="Z27">
        <v>24</v>
      </c>
      <c r="AB27">
        <v>10</v>
      </c>
    </row>
    <row r="28">
      <c r="Z28">
        <v>17</v>
      </c>
      <c r="AB28">
        <v>26</v>
      </c>
    </row>
    <row r="29">
      <c r="Z29">
        <v>11</v>
      </c>
      <c r="AB29">
        <v>18</v>
      </c>
    </row>
    <row r="30">
      <c r="Z30">
        <v>6</v>
      </c>
      <c r="AB30">
        <v>4</v>
      </c>
    </row>
    <row r="31">
      <c r="Z31">
        <v>26</v>
      </c>
      <c r="AB31">
        <v>15</v>
      </c>
    </row>
    <row r="32">
      <c r="Z32">
        <v>18</v>
      </c>
      <c r="AB32">
        <v>11</v>
      </c>
    </row>
    <row r="33">
      <c r="Z33">
        <v>13</v>
      </c>
      <c r="AB33">
        <v>21</v>
      </c>
    </row>
    <row r="34">
      <c r="Z34">
        <v>21</v>
      </c>
      <c r="AB34">
        <v>13</v>
      </c>
    </row>
    <row r="35">
      <c r="Z35">
        <v>3</v>
      </c>
      <c r="AB35">
        <v>22</v>
      </c>
    </row>
    <row r="36">
      <c r="Z36">
        <v>1</v>
      </c>
      <c r="AB36">
        <v>12</v>
      </c>
    </row>
    <row r="37">
      <c r="Z37">
        <v>8</v>
      </c>
      <c r="AB37">
        <v>25</v>
      </c>
    </row>
    <row r="38">
      <c r="Z38">
        <v>10</v>
      </c>
      <c r="AB38">
        <v>16</v>
      </c>
    </row>
    <row r="39">
      <c r="Z39">
        <v>14</v>
      </c>
      <c r="AB39">
        <v>5</v>
      </c>
    </row>
    <row r="40">
      <c r="Z40" t="s">
        <v>45</v>
      </c>
      <c r="AB40">
        <v>20</v>
      </c>
    </row>
  </sheetData>
  <pageMargins left="0.69999999999999996" right="0.69999999999999996" top="0.75" bottom="0.75" header="0.29999999999999999" footer="0.29999999999999999"/>
  <pageSetup orientation="portrait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ABCEB1-8ABB-41FB-A30B-D8858A31E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Lithara Jayakodi</dc:creator>
  <cp:lastModifiedBy>Lithara Jayakodi</cp:lastModifiedBy>
  <dcterms:created xsi:type="dcterms:W3CDTF">2026-01-25T15:59:10Z</dcterms:created>
  <dcterms:modified xsi:type="dcterms:W3CDTF">2026-02-18T07:18:27Z</dcterms:modified>
</cp:coreProperties>
</file>